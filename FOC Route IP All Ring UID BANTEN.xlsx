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/>
  <mc:AlternateContent xmlns:mc="http://schemas.openxmlformats.org/markup-compatibility/2006">
    <mc:Choice Requires="x15">
      <x15ac:absPath xmlns:x15ac="http://schemas.microsoft.com/office/spreadsheetml/2010/11/ac" url="https://iconpln-my.sharepoint.com/personal/fadhilah_muhammad_iconpln_co_id/Documents/JAKBAN AKLIS/08. AMI/19. Rekon Data Implementasi UGC/Rekap OTDR/"/>
    </mc:Choice>
  </mc:AlternateContent>
  <xr:revisionPtr revIDLastSave="1050" documentId="8_{ECE39ED9-861D-46E8-A5FD-B2F1AE6F4237}" xr6:coauthVersionLast="47" xr6:coauthVersionMax="47" xr10:uidLastSave="{ED72348F-8863-40C7-9F07-D9E6F10B9037}"/>
  <bookViews>
    <workbookView xWindow="22932" yWindow="-108" windowWidth="23256" windowHeight="12456" xr2:uid="{00000000-000D-0000-FFFF-FFFF00000000}"/>
  </bookViews>
  <sheets>
    <sheet name="FINAL SUBMITTED" sheetId="1" r:id="rId1"/>
  </sheets>
  <definedNames>
    <definedName name="_xlnm._FilterDatabase" localSheetId="0" hidden="1">'FINAL SUBMITTED'!$A$1:$AV$23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4" i="1" l="1"/>
  <c r="BA8" i="1"/>
  <c r="BB3" i="1"/>
  <c r="BB4" i="1"/>
  <c r="BB6" i="1"/>
  <c r="BB7" i="1"/>
  <c r="BB9" i="1"/>
  <c r="BB10" i="1"/>
  <c r="BB11" i="1"/>
  <c r="BB12" i="1"/>
  <c r="BB13" i="1"/>
  <c r="BB16" i="1"/>
  <c r="BB17" i="1"/>
  <c r="BB18" i="1"/>
  <c r="BB19" i="1"/>
  <c r="BB20" i="1"/>
  <c r="BB21" i="1"/>
  <c r="BB22" i="1"/>
  <c r="BB23" i="1"/>
  <c r="BA7" i="1"/>
  <c r="AZ8" i="1"/>
  <c r="BB8" i="1" s="1"/>
  <c r="AZ7" i="1"/>
  <c r="AZ5" i="1"/>
  <c r="BB5" i="1" s="1"/>
  <c r="AZ6" i="1"/>
  <c r="AZ9" i="1"/>
  <c r="AZ10" i="1"/>
  <c r="AZ11" i="1"/>
  <c r="AZ12" i="1"/>
  <c r="AZ13" i="1"/>
  <c r="AZ14" i="1"/>
  <c r="AZ15" i="1"/>
  <c r="BB15" i="1" s="1"/>
  <c r="AZ16" i="1"/>
  <c r="AZ17" i="1"/>
  <c r="AZ18" i="1"/>
  <c r="AZ19" i="1"/>
  <c r="AZ20" i="1"/>
  <c r="AZ21" i="1"/>
  <c r="AZ22" i="1"/>
  <c r="AZ23" i="1"/>
  <c r="AZ3" i="1"/>
  <c r="AZ4" i="1"/>
  <c r="AZ2" i="1"/>
  <c r="BB2" i="1" s="1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BB14" i="1" l="1"/>
  <c r="BB26" i="1"/>
  <c r="BA26" i="1"/>
  <c r="AZ26" i="1"/>
  <c r="AY26" i="1"/>
</calcChain>
</file>

<file path=xl/sharedStrings.xml><?xml version="1.0" encoding="utf-8"?>
<sst xmlns="http://schemas.openxmlformats.org/spreadsheetml/2006/main" count="574" uniqueCount="487">
  <si>
    <t>NO.</t>
  </si>
  <si>
    <t>UID</t>
  </si>
  <si>
    <t>UP3</t>
  </si>
  <si>
    <t>ULP</t>
  </si>
  <si>
    <t>FOC LINE</t>
  </si>
  <si>
    <t>POP 1</t>
  </si>
  <si>
    <t>lengths1（m）</t>
  </si>
  <si>
    <t>panjang OTDR</t>
  </si>
  <si>
    <t>Link File</t>
  </si>
  <si>
    <t>DCU 1</t>
  </si>
  <si>
    <t>lengths2（m）</t>
  </si>
  <si>
    <t>Panjang otdr</t>
  </si>
  <si>
    <t>DCU 2</t>
  </si>
  <si>
    <t>lengths 3（m）</t>
  </si>
  <si>
    <t>Panjang Otdr</t>
  </si>
  <si>
    <t>DCU 3</t>
  </si>
  <si>
    <t>lengths 4（m）</t>
  </si>
  <si>
    <t>Link Otdr</t>
  </si>
  <si>
    <t>DCU 4</t>
  </si>
  <si>
    <t>lengths 5（m）</t>
  </si>
  <si>
    <t>Panjang OTDR</t>
  </si>
  <si>
    <t>Link OTDR</t>
  </si>
  <si>
    <t>DCU 5</t>
  </si>
  <si>
    <t>lengths 6（m）</t>
  </si>
  <si>
    <t>DCU 6</t>
  </si>
  <si>
    <t>lengths 7（m）</t>
  </si>
  <si>
    <t>FOT 7</t>
  </si>
  <si>
    <t>DCU 7</t>
  </si>
  <si>
    <t>lengths 8（m）</t>
  </si>
  <si>
    <t>DCU 8</t>
  </si>
  <si>
    <t>lengths 9（m）</t>
  </si>
  <si>
    <t>DCU 9</t>
  </si>
  <si>
    <t>lengths 10（m）</t>
  </si>
  <si>
    <t>DCU 10</t>
  </si>
  <si>
    <t>lengths 11（m）</t>
  </si>
  <si>
    <t>POP 2</t>
  </si>
  <si>
    <t>POP2 IP(reserve )</t>
  </si>
  <si>
    <t>Total Length</t>
  </si>
  <si>
    <t>Total OTDR</t>
  </si>
  <si>
    <t>blank as claim</t>
  </si>
  <si>
    <t>adjusted</t>
  </si>
  <si>
    <t>Keterangan</t>
  </si>
  <si>
    <t>BANTEN</t>
  </si>
  <si>
    <t>UP3 CIKOKOL</t>
  </si>
  <si>
    <t>UP3 TELUK NAGA</t>
  </si>
  <si>
    <t>AMI_RJKT_UP3CIKOKOL_RING_1</t>
  </si>
  <si>
    <t>POP_1TGR10004_KUTABUMI PS KEMIS MINI POP</t>
  </si>
  <si>
    <t>https://iconpln-my.sharepoint.com/:b:/g/personal/fadhilah_muhammad_iconpln_co_id/IQAZYbB1WnAGQKWNt8CVcZhZAeF9jDcQSVzLXpLUhSxLJhw?e=ZgM1I9</t>
  </si>
  <si>
    <t>KC462P</t>
  </si>
  <si>
    <t>https://iconpln-my.sharepoint.com/:b:/g/personal/fadhilah_muhammad_iconpln_co_id/IQCvBBZYp65FTqBMotM2SKBeASvDyYzW2Rjr8AwlEy79OTQ?e=tP7bUZ</t>
  </si>
  <si>
    <t>KRW20</t>
  </si>
  <si>
    <t>https://iconpln-my.sharepoint.com/:b:/g/personal/fadhilah_muhammad_iconpln_co_id/IQCvBBZYp65FTqBMotM2SKBeASvDyYzW2Rjr8AwlEy79OTQ?e=YMJ8jG</t>
  </si>
  <si>
    <t>TG268A</t>
  </si>
  <si>
    <t>https://iconpln-my.sharepoint.com/:b:/g/personal/fadhilah_muhammad_iconpln_co_id/IQBWS6mxqyfnTJh668XjYsnnAfj7_uvQAIa9thiIwr8tyJU?e=eMLzN3</t>
  </si>
  <si>
    <t>KCP463P</t>
  </si>
  <si>
    <t>https://iconpln-my.sharepoint.com/:b:/g/personal/fadhilah_muhammad_iconpln_co_id/IQAtck8n1co1T6VvZMqPk47aAcN1Oi4-4a-nFOFpZ3vyEaE?e=Msqv8n</t>
  </si>
  <si>
    <t>TG47C</t>
  </si>
  <si>
    <t>https://iconpln-my.sharepoint.com/:b:/g/personal/fadhilah_muhammad_iconpln_co_id/IQBGZp0K3SeaTacrHY_RsNITAX1pcuyBV8MG3kdxwgyL6j0?e=iYQlrk</t>
  </si>
  <si>
    <t>KRW32</t>
  </si>
  <si>
    <t>https://iconpln-my.sharepoint.com/:b:/g/personal/fadhilah_muhammad_iconpln_co_id/IQDTV19cmnh5T6ZPrnhFemGSAeajTw1rnN8hmRzDSFDi5-s?e=6OFuwh</t>
  </si>
  <si>
    <t>TG294</t>
  </si>
  <si>
    <t>https://iconpln-my.sharepoint.com/:b:/g/personal/fadhilah_muhammad_iconpln_co_id/IQCI7j7MSlocSrNYdhx-S4XjAUeXbBZk4_0Rj01Nqcd6VXU?e=ohNq8G</t>
  </si>
  <si>
    <t>KC164K</t>
  </si>
  <si>
    <t>https://iconpln-my.sharepoint.com/:b:/g/personal/fadhilah_muhammad_iconpln_co_id/IQBFD_kB_hOPRbg7M8CWvJr7AR26fTcPdTQgFRmYI_k3HTg?e=XViekV</t>
  </si>
  <si>
    <t>TG216S</t>
  </si>
  <si>
    <t>https://iconpln-my.sharepoint.com/:b:/g/personal/fadhilah_muhammad_iconpln_co_id/IQAMr9iumFL0Tr1wbi10aV3HAUx1Vj53T_-lvZVEvnMydJs?e=j1NEUG</t>
  </si>
  <si>
    <t>POP_1TGR005 CIKUPA GI SHELTER PLN</t>
  </si>
  <si>
    <t>172.16.1.108</t>
  </si>
  <si>
    <t>AMI_RJKT_UP3CIKOKOL_RING_2</t>
  </si>
  <si>
    <t>POP_1TGR023 TELUK NAGA UP3 ODC PLN</t>
  </si>
  <si>
    <t>https://iconpln-my.sharepoint.com/:b:/g/personal/fadhilah_muhammad_iconpln_co_id/IQBKSWg56ngrSohsN_6Iyjt5AWL2quUSV1JeFQ0j0eSkeL4?e=Lkvuff</t>
  </si>
  <si>
    <t>TG167P</t>
  </si>
  <si>
    <t>https://iconpln-my.sharepoint.com/:b:/g/personal/fadhilah_muhammad_iconpln_co_id/IQDqsDEjLzGWR5TBGqqlZ6E2Aci-xY_9xTFiQYVhJ5jebGc?e=wExlQ6</t>
  </si>
  <si>
    <t>KC231</t>
  </si>
  <si>
    <t>https://iconpln-my.sharepoint.com/:b:/g/personal/fadhilah_muhammad_iconpln_co_id/IQAsyVTxdzVJQp4RJ8Y17m1xAciNJ4oKGbd2aZfuvVbwet0?e=p3wc6q</t>
  </si>
  <si>
    <t>TG484</t>
  </si>
  <si>
    <t>https://iconpln-my.sharepoint.com/:b:/g/personal/fadhilah_muhammad_iconpln_co_id/IQCvpauXVrpbQrglY-dOL2N2AfnMeT6kO5WoQhDdeFBwSc0?e=TmVr0U</t>
  </si>
  <si>
    <t>TG239</t>
  </si>
  <si>
    <t>https://iconpln-my.sharepoint.com/:b:/g/personal/fadhilah_muhammad_iconpln_co_id/IQC83h4VFXOYQLAIxtsYMm4GAROEr46AE_nkSFGxpQraF4k?e=zwLEqv</t>
  </si>
  <si>
    <t>TG38</t>
  </si>
  <si>
    <t>https://iconpln-my.sharepoint.com/:b:/g/personal/fadhilah_muhammad_iconpln_co_id/IQAt9mnDV6Y5QKbQ4c1LZ14gAYf86rJ61jkF9WnnVKB2aLI?e=IeFA6x</t>
  </si>
  <si>
    <t>TG73</t>
  </si>
  <si>
    <t>https://iconpln-my.sharepoint.com/:b:/g/personal/fadhilah_muhammad_iconpln_co_id/IQB3X7ll84x8S4u1oEr6zX0NAcwI9drNIaAWSYEEwyq1jo8?e=zyx26R</t>
  </si>
  <si>
    <t>TG64</t>
  </si>
  <si>
    <t>https://iconpln-my.sharepoint.com/:b:/g/personal/fadhilah_muhammad_iconpln_co_id/IQCW-GNtnrqlRIvhpjFOpLO2AZuzAHJTB-hX54_MXh9x63A?e=GqY8SA</t>
  </si>
  <si>
    <t>KRW36</t>
  </si>
  <si>
    <t>https://iconpln-my.sharepoint.com/:b:/g/personal/fadhilah_muhammad_iconpln_co_id/IQAYfTIgo-OHQ6XRSGnKKtNRATW4_g4kLHTNRcLb6RVg4H8?e=wFKVTs</t>
  </si>
  <si>
    <t>POP_1TGR020 TELUK NAGA PURI UP ODC PLN</t>
  </si>
  <si>
    <t>172.16.1.112</t>
  </si>
  <si>
    <t>AMI_RJKT_UP3CIKOKOL_RING_3</t>
  </si>
  <si>
    <t>https://iconpln-my.sharepoint.com/:b:/g/personal/fadhilah_muhammad_iconpln_co_id/IQDYhDo9PdVARLSgxrbwRJIgAUh-WJrsawGYo1ePtO7XARc?e=qMFdSw</t>
  </si>
  <si>
    <t>TG292</t>
  </si>
  <si>
    <t>https://iconpln-my.sharepoint.com/:b:/g/personal/fadhilah_muhammad_iconpln_co_id/IQC8w7j9hvIVR5aWd2vXB52jAUGkORUsUQXqjrl55HAbkcM?e=Chcx2n</t>
  </si>
  <si>
    <t>KRW9</t>
  </si>
  <si>
    <t>https://iconpln-my.sharepoint.com/:b:/g/personal/fadhilah_muhammad_iconpln_co_id/IQDVCxWIu8EbRKsdmEgkx47yAcOUXNgzBZvjPeeYntUQv0o?e=kjkg5X</t>
  </si>
  <si>
    <t>KC291</t>
  </si>
  <si>
    <t>https://iconpln-my.sharepoint.com/:b:/g/personal/fadhilah_muhammad_iconpln_co_id/IQCOUB9lchnBRZM6G8aafhIGAS5OCtKmDm7-d5wTyJNJ3RU?e=JG85h6</t>
  </si>
  <si>
    <t>KRW38</t>
  </si>
  <si>
    <t>https://iconpln-my.sharepoint.com/:b:/g/personal/fadhilah_muhammad_iconpln_co_id/IQBwEwdb__JJS7wOJs5qOciYAcDgaWoaKe1T9QC687vt6LE?e=H2pOIH</t>
  </si>
  <si>
    <t>KC54</t>
  </si>
  <si>
    <t>https://iconpln-my.sharepoint.com/:b:/g/personal/fadhilah_muhammad_iconpln_co_id/IQDIFNmRnM0MSZuAU-z5CGjPAZPmeGAvLLfm9xBd-5U0GOY?e=rFDawA</t>
  </si>
  <si>
    <t>TG415</t>
  </si>
  <si>
    <t>https://iconpln-my.sharepoint.com/:b:/g/personal/fadhilah_muhammad_iconpln_co_id/IQCHpX3JsQihTqnrVqs1nQh3AZB30WwJLR3ppggldR7ar70?e=2nOcay</t>
  </si>
  <si>
    <t>CBD6</t>
  </si>
  <si>
    <t>https://iconpln-my.sharepoint.com/:b:/g/personal/fadhilah_muhammad_iconpln_co_id/IQDrNT0hYgMxTI3r2mj7Skb0AaJ4MImJ8lUSD-HyaEz0HyI?e=6aHtQr</t>
  </si>
  <si>
    <t>KC247</t>
  </si>
  <si>
    <t>https://iconpln-my.sharepoint.com/:b:/g/personal/fadhilah_muhammad_iconpln_co_id/IQBjEPZ7P9j_T5t4a-6bDKkdAWcOHNBeYNB7eDpWHIMLqh8?e=09tGUN</t>
  </si>
  <si>
    <t>POP_1TGR10016_SUKABAKTI CURUG</t>
  </si>
  <si>
    <t>172.16.1.116</t>
  </si>
  <si>
    <t>GI SEPATAN</t>
  </si>
  <si>
    <t>AMI_RJKT_UP3CIKOKOL_RING_4</t>
  </si>
  <si>
    <t>POP_1TGR013 SEPATAN GI PLN</t>
  </si>
  <si>
    <t>https://iconpln-my.sharepoint.com/:b:/g/personal/fadhilah_muhammad_iconpln_co_id/IQBox75iqioXTrvaOIzSSaJBAS4Gymq0hG8k7xEKgwViT7I?e=zPVIpQ</t>
  </si>
  <si>
    <t>KC481P</t>
  </si>
  <si>
    <t>https://iconpln-my.sharepoint.com/:b:/g/personal/fadhilah_muhammad_iconpln_co_id/IQDE19wCT5AFRrQcxog-OUjMAflp3S8pX3RoNKJcBZp4q6c?e=1rvmOl</t>
  </si>
  <si>
    <t>TG47E</t>
  </si>
  <si>
    <t>https://iconpln-my.sharepoint.com/:b:/g/personal/fadhilah_muhammad_iconpln_co_id/IQBCs7krMoTVT5eWJXUX_2kiAZp1cWiI0uGHMwJBF6JruHA?e=RoZhYW</t>
  </si>
  <si>
    <t>TG405S</t>
  </si>
  <si>
    <t>https://iconpln-my.sharepoint.com/:b:/g/personal/fadhilah_muhammad_iconpln_co_id/IQDOfctF18P-SJGjFvT1EchHAam4rR7EGsIdYbaxE-QCXsY?e=UfLkA8</t>
  </si>
  <si>
    <t>KRW23</t>
  </si>
  <si>
    <t>https://iconpln-my.sharepoint.com/:b:/g/personal/fadhilah_muhammad_iconpln_co_id/IQBOnxqnmxBJR4wf6FzJO4C4AeROZzNzwzBzmrkQ3MRAgw4?e=n4CXAs</t>
  </si>
  <si>
    <t>PRK7</t>
  </si>
  <si>
    <t>https://iconpln-my.sharepoint.com/:b:/g/personal/fadhilah_muhammad_iconpln_co_id/IQAsCZ0inFxUSIcCKfNRyuzAAUmCcqxmd6ksm7l2EcwcqDw?e=FUSWk7</t>
  </si>
  <si>
    <t>KC37</t>
  </si>
  <si>
    <t>https://iconpln-my.sharepoint.com/:b:/g/personal/fadhilah_muhammad_iconpln_co_id/IQDvny63UfkWSa_QhVrf2GUBAf4_GdoMDdUZkEkFj0LE4DI?e=u7zqIl</t>
  </si>
  <si>
    <t>CBD15</t>
  </si>
  <si>
    <t>https://iconpln-my.sharepoint.com/:b:/g/personal/fadhilah_muhammad_iconpln_co_id/IQDo8RDCNEShRKE1xxYK_3jnATLzWaZGa1d1Y-s8wQ9sCeA?e=6VyxAG</t>
  </si>
  <si>
    <t>TG179B</t>
  </si>
  <si>
    <t>https://iconpln-my.sharepoint.com/:b:/g/personal/fadhilah_muhammad_iconpln_co_id/IQDd9TOAsFTKSa24FDtBPgVvAYQxLWkN-_0pe9BNxd64rwY?e=flhd9k</t>
  </si>
  <si>
    <t>POP_1TGR10000_KP43/RJ3 GH MINI ODC PLN</t>
  </si>
  <si>
    <t>172.16.1.120</t>
  </si>
  <si>
    <t>PLN GIS 150 CIKUPA NEW</t>
  </si>
  <si>
    <t>AMI_RJKT_UP3CIKOKOL_RING_5</t>
  </si>
  <si>
    <t>POP_1TGR10016_SUKABAKTI CURUG CA12 GH MINI POP PLN</t>
  </si>
  <si>
    <t>https://iconpln-my.sharepoint.com/:b:/g/personal/fadhilah_muhammad_iconpln_co_id/IQBoxl8LRySSRKKmnsTIY3ldAS1N-ef93ltAYMkCDcHdD5I?e=dfFUUk</t>
  </si>
  <si>
    <t>TG410</t>
  </si>
  <si>
    <t>https://iconpln-my.sharepoint.com/:b:/g/personal/fadhilah_muhammad_iconpln_co_id/IQCrQPLB2eZ-SbCov7rbY0FqARMOa_XBnK62fZSk7CV7IQI?e=UEUSyV</t>
  </si>
  <si>
    <t>TG413</t>
  </si>
  <si>
    <t>https://iconpln-my.sharepoint.com/:b:/g/personal/fadhilah_muhammad_iconpln_co_id/IQA62Kgz4yv8Q6o7P3leenUdAab8kKaS7vdG9j2Py4A-gjE?e=q376QQ</t>
  </si>
  <si>
    <t>CBD38</t>
  </si>
  <si>
    <t>https://iconpln-my.sharepoint.com/:b:/g/personal/fadhilah_muhammad_iconpln_co_id/IQA7bP4IZs2nRY-kBPyMi8ANAe6rFjN2e07yQBfg_LM-fVg?e=rWIYWd</t>
  </si>
  <si>
    <t>KLD10P</t>
  </si>
  <si>
    <t>https://iconpln-my.sharepoint.com/:b:/g/personal/fadhilah_muhammad_iconpln_co_id/IQDiGfxobVfCRL0Mx2H6-psPAV4YvB8w_iriB-SG6YGv36A?e=CUAVks</t>
  </si>
  <si>
    <t>TG151P</t>
  </si>
  <si>
    <t>https://iconpln-my.sharepoint.com/:b:/g/personal/fadhilah_muhammad_iconpln_co_id/IQDiGfxobVfCRL0Mx2H6-psPAV4YvB8w_iriB-SG6YGv36A?e=IOWAaX</t>
  </si>
  <si>
    <t>KRW21</t>
  </si>
  <si>
    <t>https://iconpln-my.sharepoint.com/:b:/g/personal/fadhilah_muhammad_iconpln_co_id/IQDT6pDb9zV-S7mNfaDvtgziAWQwNJ9Vk-WPaB7nj2au_YM?e=6o6LbM</t>
  </si>
  <si>
    <t>TGR11</t>
  </si>
  <si>
    <t>https://iconpln-my.sharepoint.com/:b:/g/personal/fadhilah_muhammad_iconpln_co_id/IQDRDXQE49KBSryC3oI0Ie_UAW5F_RX34Uaa8Hl2-aEsseo?e=USiIRY</t>
  </si>
  <si>
    <t>TG170</t>
  </si>
  <si>
    <t>https://iconpln-my.sharepoint.com/:b:/g/personal/fadhilah_muhammad_iconpln_co_id/IQAR41A3jn-rQKAo3bFEty08AR_cUR98nMnnOwwnFyi3xvs?e=xxdNpT</t>
  </si>
  <si>
    <t>POP_1CBI10036_PERUMAHAN THE RIVER PARUNG ODC</t>
  </si>
  <si>
    <t>172.16.1.124</t>
  </si>
  <si>
    <t>UP3 BINTARO</t>
  </si>
  <si>
    <t>AMI_RJKT_UP3CIKOKOL_RING_6</t>
  </si>
  <si>
    <t>POP_1TGR10019_JAPOS GRAHA LESTARI GH CD90 BINTARO UP3 MINI POP PLN</t>
  </si>
  <si>
    <t>https://iconpln-my.sharepoint.com/:b:/g/personal/fadhilah_muhammad_iconpln_co_id/IQAkjQC_496wSZbP6Ue6CzsVAe1-Fn5bBXD6NbH7LwzAtr4?e=Ak0HYZ</t>
  </si>
  <si>
    <t>CPT4S</t>
  </si>
  <si>
    <t>https://iconpln-my.sharepoint.com/:b:/g/personal/fadhilah_muhammad_iconpln_co_id/IQDy3COSdgUhQ4HW5vmwOESAAQKfTOIFPZs2s3uJPtCgZ_o?e=Kt1JeK</t>
  </si>
  <si>
    <t>TGR39</t>
  </si>
  <si>
    <t>https://iconpln-my.sharepoint.com/:b:/g/personal/fadhilah_muhammad_iconpln_co_id/IQAcJUfsNDI1QJakF_QtFfz8AdgiNiMYrEuTMiDQEd_X9Zs?e=oPDVyW</t>
  </si>
  <si>
    <t>CKK4</t>
  </si>
  <si>
    <t>https://iconpln-my.sharepoint.com/:b:/g/personal/fadhilah_muhammad_iconpln_co_id/IQCZ5Yr-nD18QqoDVTFDsh44AbzHMULcDWIAhb9sdWbkWPs?e=qf7uRC</t>
  </si>
  <si>
    <t>TG191</t>
  </si>
  <si>
    <t>tidak ada keterangan yang sesuai</t>
  </si>
  <si>
    <t>TGR33</t>
  </si>
  <si>
    <t>https://iconpln-my.sharepoint.com/:b:/g/personal/fadhilah_muhammad_iconpln_co_id/IQBrzGeqLsUeT6aHfoNiE5qJAbHmyFt3CYvFHb_IXIjEe6I?e=9akqDp</t>
  </si>
  <si>
    <t>PJ115</t>
  </si>
  <si>
    <t>https://iconpln-my.sharepoint.com/:b:/g/personal/fadhilah_muhammad_iconpln_co_id/IQBkdSM0Pa8QSLN6ClfZ2y6sAWa-JB9lTPgVu9eJCzeIYiY?e=6uzr0V</t>
  </si>
  <si>
    <t>PJ81</t>
  </si>
  <si>
    <t>https://iconpln-my.sharepoint.com/:b:/g/personal/fadhilah_muhammad_iconpln_co_id/IQD3Sz8-hFR0SJ_p8lunAjLoAbFKyVe96l6qQ34tLaTFOKE?e=kCd7lk</t>
  </si>
  <si>
    <t>CKK1S</t>
  </si>
  <si>
    <t>POP_1TNG010 GI TANGERANG LAMA</t>
  </si>
  <si>
    <t>172.16.1.128</t>
  </si>
  <si>
    <t>TG191 - TGR33
CKK1S - 1TNG010
tidak ada</t>
  </si>
  <si>
    <t>AMI_RJKT_UP3CIKOKOL_RING_7</t>
  </si>
  <si>
    <t>POP_1TNG10002_GH CD33 PANINGGILAN MINI ODC PLN</t>
  </si>
  <si>
    <t>https://iconpln-my.sharepoint.com/:b:/g/personal/fadhilah_muhammad_iconpln_co_id/IQDTukIA68b4T43y2VEpuBaIAVuYGwcyLAaH4_ak6pivcuI?e=o3Bgm6</t>
  </si>
  <si>
    <t>TG225</t>
  </si>
  <si>
    <t>TGR36</t>
  </si>
  <si>
    <t>TG235</t>
  </si>
  <si>
    <t>PJ172P</t>
  </si>
  <si>
    <t>KC460P</t>
  </si>
  <si>
    <t>https://iconpln-my.sharepoint.com/:b:/g/personal/fadhilah_muhammad_iconpln_co_id/IQAiHYjoUjb0RJ-ROuQPwEzOAWdx1qZ6DGCEjmmFKW1IzGY?e=KdamZ5</t>
  </si>
  <si>
    <t>KC161</t>
  </si>
  <si>
    <t>https://iconpln-my.sharepoint.com/:b:/g/personal/fadhilah_muhammad_iconpln_co_id/IQBrohfPg1dfQoQHGpc1fZElAXsQHZy7TCdr0EHh6MJwnGg?e=E7y83u</t>
  </si>
  <si>
    <t>TG149P</t>
  </si>
  <si>
    <t>TG47A</t>
  </si>
  <si>
    <t>https://iconpln-my.sharepoint.com/:b:/g/personal/fadhilah_muhammad_iconpln_co_id/IQAH3kWzeArAQoTpjyeir8zVAST3a3-UAfoD7JArs49MZ50?e=Fpolhr</t>
  </si>
  <si>
    <t>172.16.1.132</t>
  </si>
  <si>
    <t>OTDR TIDAK ADA KETERANGAN A-B</t>
  </si>
  <si>
    <t>done</t>
  </si>
  <si>
    <t>GUDANG PLN KAMPUNG MELAYU</t>
  </si>
  <si>
    <t>AMI_RJKT_UP3CIKOKOL_RING_8</t>
  </si>
  <si>
    <t>https://iconpln-my.sharepoint.com/:b:/g/personal/fadhilah_muhammad_iconpln_co_id/IQB_3fDtQ9Q0R79FDF4R7z_DAYnI_AhEzYCoqgHu4QTUdQA?e=jHnghi</t>
  </si>
  <si>
    <t>BTC34</t>
  </si>
  <si>
    <t>https://iconpln-my.sharepoint.com/:b:/g/personal/fadhilah_muhammad_iconpln_co_id/IQDEMSpze3YFQZaWrrg1MRxYAVeOzRuuIepJNQsgrRhuMj4?e=hDnfuq</t>
  </si>
  <si>
    <t>BC42</t>
  </si>
  <si>
    <t>https://iconpln-my.sharepoint.com/:b:/g/personal/fadhilah_muhammad_iconpln_co_id/IQCjQrXXwEgIQokTTZXLbUx-AU3q90OB1l92Fcapt6Hdr-w?e=NrZfQx</t>
  </si>
  <si>
    <t>BTC32</t>
  </si>
  <si>
    <t>https://iconpln-my.sharepoint.com/:b:/g/personal/fadhilah_muhammad_iconpln_co_id/IQAzV5w5PM02Rq0IXAlaBDw5ARZ3_eK6qeJiTPr9tssn2iA?e=ehaSYK</t>
  </si>
  <si>
    <t>BC363P</t>
  </si>
  <si>
    <t>https://iconpln-my.sharepoint.com/:b:/g/personal/fadhilah_muhammad_iconpln_co_id/IQAer0ig1uHjSq0_Gs_4FC63AQxTLtFP7IIHe7cWSvwKCVM?e=SO78t7</t>
  </si>
  <si>
    <t>CPD1</t>
  </si>
  <si>
    <t>https://iconpln-my.sharepoint.com/:b:/g/personal/fadhilah_muhammad_iconpln_co_id/IQAsgY8klqcpQbl0SUyeUGkEAdkinfpsdRmSbalLQq8Q8Hs?e=hkqWuV</t>
  </si>
  <si>
    <t>PJ171P</t>
  </si>
  <si>
    <t>https://iconpln-my.sharepoint.com/:b:/g/personal/fadhilah_muhammad_iconpln_co_id/IQCapPXnSuVbS7LDwkpjmmr0Ab2uUrpbFBasPtMS4a4eglk?e=AXRQUx</t>
  </si>
  <si>
    <t>CPD25</t>
  </si>
  <si>
    <t>https://iconpln-my.sharepoint.com/:b:/g/personal/fadhilah_muhammad_iconpln_co_id/IQCv9sZxZVHnS4oMzfLGLzPFASo1PttJqbCjV9gXuCfwxEQ?e=h2c4or</t>
  </si>
  <si>
    <t>TG172A</t>
  </si>
  <si>
    <t>https://iconpln-my.sharepoint.com/:b:/g/personal/fadhilah_muhammad_iconpln_co_id/IQA3BEHliuztSqkfV1y7xblDAa4MXbBYvgC5zfDXKR0zadA?e=EC3NmU</t>
  </si>
  <si>
    <t>172.16.1.136</t>
  </si>
  <si>
    <t>AMI_RJKT_UP3CIKOKOL_RING_9</t>
  </si>
  <si>
    <t>https://iconpln-my.sharepoint.com/:b:/g/personal/fadhilah_muhammad_iconpln_co_id/IQDsBnc760EeQa_v6NuQ8qD8AfcIIKpYVpIOrHegR_F20HY?e=bbe15l</t>
  </si>
  <si>
    <t>CPD4</t>
  </si>
  <si>
    <t>https://iconpln-my.sharepoint.com/:b:/g/personal/fadhilah_muhammad_iconpln_co_id/IQC9hSvwF5LnSbGucPrhqe2QAUfljDvWPfILv1C_2p0VtUE?e=KSDJEa</t>
  </si>
  <si>
    <t>TG143B</t>
  </si>
  <si>
    <t>https://iconpln-my.sharepoint.com/:b:/g/personal/fadhilah_muhammad_iconpln_co_id/IQAc_tjvF1kpRae0QUZMAD0zAe5P5md3p5E4qKMQEzoybjo?e=xXgjIL</t>
  </si>
  <si>
    <t>PJ203</t>
  </si>
  <si>
    <t>https://iconpln-my.sharepoint.com/:b:/g/personal/fadhilah_muhammad_iconpln_co_id/IQAOUS0VdJTbQJnnJXPJbBdzAfFysIfeSzvHwleRhJih14M?e=Jh0C7W</t>
  </si>
  <si>
    <t>PJ209</t>
  </si>
  <si>
    <t>https://iconpln-my.sharepoint.com/:b:/g/personal/fadhilah_muhammad_iconpln_co_id/IQDdMA4CAIoXSpBkhsXLG5n_AWbMB5VRUiIP1gqtxcBuLYU?e=cwmfCI</t>
  </si>
  <si>
    <t>ST38</t>
  </si>
  <si>
    <t>https://iconpln-my.sharepoint.com/:b:/g/personal/fadhilah_muhammad_iconpln_co_id/IQCuXLgQyx7uQKuTlzXYpGBQATetYXJxUMWTehxPEfNYmA0?e=hKQBNZ</t>
  </si>
  <si>
    <t>TG12</t>
  </si>
  <si>
    <t>https://iconpln-my.sharepoint.com/:b:/g/personal/fadhilah_muhammad_iconpln_co_id/IQApcE8i790nSJHFyIPQERKnATnvj85py1OioYUFD2kd5So?e=9eKAAQ</t>
  </si>
  <si>
    <t>TG270</t>
  </si>
  <si>
    <t>https://iconpln-my.sharepoint.com/:b:/g/personal/fadhilah_muhammad_iconpln_co_id/IQD5Lk20R_vIQYF-iZaxLyO2ARns82fbiwLnpIGgAQHT_Co?e=pqbnfb</t>
  </si>
  <si>
    <t>ST87</t>
  </si>
  <si>
    <t>https://iconpln-my.sharepoint.com/:b:/g/personal/fadhilah_muhammad_iconpln_co_id/IQDiZGpVHPELSo0aaKQNAywDAXZlFWvzsgNk8BD7K1WpwAg?e=njnXnk</t>
  </si>
  <si>
    <t>172.16.1.140</t>
  </si>
  <si>
    <t>ST38 - TG12
file tidak ada keterangan</t>
  </si>
  <si>
    <t>UP3 KEBON JERUK</t>
  </si>
  <si>
    <t>AMI_RJKT_UP3CIKOKOL_RING_10</t>
  </si>
  <si>
    <t>POP_1TNG024 KEBUN JERUK UP3 ODC PLN</t>
  </si>
  <si>
    <t>https://iconpln-my.sharepoint.com/:b:/g/personal/fadhilah_muhammad_iconpln_co_id/IQAHgUnafV_TT526FmsZRKi_AfGzBQZrGw3qwBS-FbPgrTY?e=HcU1l5</t>
  </si>
  <si>
    <t>CPD65</t>
  </si>
  <si>
    <t>https://iconpln-my.sharepoint.com/:b:/g/personal/fadhilah_muhammad_iconpln_co_id/IQC6BrueJxVbTJJRojjeet1gAR6V2WEUvMephYDO1eQWfAs?e=uadplT</t>
  </si>
  <si>
    <t>PJ143</t>
  </si>
  <si>
    <t>https://iconpln-my.sharepoint.com/:b:/g/personal/fadhilah_muhammad_iconpln_co_id/IQCjQVSRTSuzSrhC-e8S8sVbAbBhA5Eo8zayJh2Ju4gnkcU?e=UeJshf</t>
  </si>
  <si>
    <t>CPD75</t>
  </si>
  <si>
    <t>https://iconpln-my.sharepoint.com/:b:/g/personal/fadhilah_muhammad_iconpln_co_id/IQAHgy3nr5VMTase5bSr4ABXAb39h1jhRL95yRyRJ267QQk?e=2gUTSd</t>
  </si>
  <si>
    <t>BTC4</t>
  </si>
  <si>
    <t>https://iconpln-my.sharepoint.com/:b:/g/personal/fadhilah_muhammad_iconpln_co_id/IQBfWFx0w3wiQoeMpIEBWS2OAZdsAmMbWJfHjeAxdAY73bg?e=jFay0B</t>
  </si>
  <si>
    <t>TG183P</t>
  </si>
  <si>
    <t>https://iconpln-my.sharepoint.com/:b:/g/personal/fadhilah_muhammad_iconpln_co_id/IQCZOoakb9X9ToHhw8iLVyk5AUBWu5NRTP1ZnLzUKP93NJM?e=em6C6g</t>
  </si>
  <si>
    <t>BTC23</t>
  </si>
  <si>
    <t>https://iconpln-my.sharepoint.com/:b:/g/personal/fadhilah_muhammad_iconpln_co_id/IQDoS3qXKcSpTqE58hbrylzDAbublI_5cBQJvl-EkbS0MdU?e=xu2hpC</t>
  </si>
  <si>
    <t>CPD70</t>
  </si>
  <si>
    <t>https://iconpln-my.sharepoint.com/:b:/g/personal/fadhilah_muhammad_iconpln_co_id/IQDbtwPZChUJRIjMeEC_EG-MAZhNDXX0PJC9jhMU-P2QgLw?e=oBNGUp</t>
  </si>
  <si>
    <t>DK187</t>
  </si>
  <si>
    <t>https://iconpln-my.sharepoint.com/:b:/g/personal/fadhilah_muhammad_iconpln_co_id/IQCM71ho_2O6RrZAYFF8uoMeAY4gRxJpNR5mYH2vSYMIceM?e=vFpHfe</t>
  </si>
  <si>
    <t>POP_1GGP003 GROGOL GI PLN</t>
  </si>
  <si>
    <t>172.16.1.144</t>
  </si>
  <si>
    <t>GI PETUKANGAN</t>
  </si>
  <si>
    <t>AMI_RJKT_UP3CIKOKOL_RING_11</t>
  </si>
  <si>
    <t>POP_1CPT035 UPP JJBB3 PETUKANGAN ODC PLN</t>
  </si>
  <si>
    <t>https://iconpln-my.sharepoint.com/:b:/g/personal/fadhilah_muhammad_iconpln_co_id/IQDz2Qs2u05ER5zvLgRTzvCtAVS8yHAIpiityOFmmbDmRE8?e=GtpXRX</t>
  </si>
  <si>
    <t>DK256</t>
  </si>
  <si>
    <t>https://iconpln-my.sharepoint.com/:b:/g/personal/fadhilah_muhammad_iconpln_co_id/IQBXx8vy35UfSYBf8awwoIxZAVW8a_svrNQtJG5RHimTHZI?e=MzF9a8</t>
  </si>
  <si>
    <t>DK238P</t>
  </si>
  <si>
    <t>https://iconpln-my.sharepoint.com/:b:/g/personal/fadhilah_muhammad_iconpln_co_id/IQDylidgf8UjRaNUSKcFMw1gAS5GbQsoJe1Wekpl3YWVlUg?e=SSdqNl</t>
  </si>
  <si>
    <t>DK245</t>
  </si>
  <si>
    <t>https://iconpln-my.sharepoint.com/:b:/g/personal/fadhilah_muhammad_iconpln_co_id/IQCTQYssx7K3TZkACz6csk-XARCKtZXGE3SNo9Z1ZTeGArE?e=0Dv7w1</t>
  </si>
  <si>
    <t>CPD36</t>
  </si>
  <si>
    <t>https://iconpln-my.sharepoint.com/:b:/g/personal/fadhilah_muhammad_iconpln_co_id/IQDEAiJeO__ASpNbfBKVghu2Ac1bGQDowBHQUEJjdFj7Ye0?e=gBOdEM</t>
  </si>
  <si>
    <t>BTC18</t>
  </si>
  <si>
    <t>https://iconpln-my.sharepoint.com/:b:/g/personal/fadhilah_muhammad_iconpln_co_id/IQBwe9InGJzQQ5MxVrZWLKAQAZppUeAsnujnmguoVWR34us?e=XhhGeP</t>
  </si>
  <si>
    <t>BTC21</t>
  </si>
  <si>
    <t>https://iconpln-my.sharepoint.com/:b:/g/personal/fadhilah_muhammad_iconpln_co_id/IQAhrx9vhsUHQLycO61zS4xfAa4DYZd-1NHj24S9qPo0Q7Y?e=AIdhFq</t>
  </si>
  <si>
    <t>DK200</t>
  </si>
  <si>
    <t>https://iconpln-my.sharepoint.com/:b:/g/personal/fadhilah_muhammad_iconpln_co_id/IQDgu1PzyqncQqZoFDuTZMErAcsHi3G88g7KOGDzvuxJ5I4?e=U5w9D1</t>
  </si>
  <si>
    <t>BTC19</t>
  </si>
  <si>
    <t>https://iconpln-my.sharepoint.com/:b:/g/personal/fadhilah_muhammad_iconpln_co_id/IQBa3Kpi4XjTTa3m01WYmGm0AS7ARytfgM8_DfbfNHosqsg?e=2fWSIM</t>
  </si>
  <si>
    <t>POP_1GGP005 KEBON JERUK GIS SHELTER PLN</t>
  </si>
  <si>
    <t>172.16.1.148</t>
  </si>
  <si>
    <t>AMI_RJKT_UP3CIKOKOL_RING_12</t>
  </si>
  <si>
    <t>https://iconpln-my.sharepoint.com/:b:/g/personal/fadhilah_muhammad_iconpln_co_id/IQAhcGVGQH2rS6MHNWz4iLWyAZFnUU6LTBEYSTRUctdyUtY?e=RY5uda</t>
  </si>
  <si>
    <t>CPD47</t>
  </si>
  <si>
    <t>https://iconpln-my.sharepoint.com/:b:/g/personal/fadhilah_muhammad_iconpln_co_id/IQDryGGujmykTKClZK133qDVASuccmyjLXDwqvoghZmouNQ?e=LJKbGW</t>
  </si>
  <si>
    <t>DK249</t>
  </si>
  <si>
    <t>https://iconpln-my.sharepoint.com/:b:/g/personal/fadhilah_muhammad_iconpln_co_id/IQBuSudfdrLHRqEEU3SpRcoYAVpxG1HUt_uOsnYUdG5s0Bw?e=TgymoZ</t>
  </si>
  <si>
    <t>DK261</t>
  </si>
  <si>
    <t>https://iconpln-my.sharepoint.com/:b:/g/personal/fadhilah_muhammad_iconpln_co_id/IQCVO8Wwuav5QIRBl4Ozo1KaAXgTBTCLU2r5pTClXCqlBTg?e=To3RKP</t>
  </si>
  <si>
    <t>DK232</t>
  </si>
  <si>
    <t>https://iconpln-my.sharepoint.com/:b:/g/personal/fadhilah_muhammad_iconpln_co_id/IQCHjXi1uDHkT6_FSQrkI0qRAV71uHcRXnR0eUcQQGo0pMY?e=3fmhGh</t>
  </si>
  <si>
    <t>CPD57</t>
  </si>
  <si>
    <t>https://iconpln-my.sharepoint.com/:b:/g/personal/fadhilah_muhammad_iconpln_co_id/IQD6pnZc8TV2T7KR2brRSXjLAfVcAvqpIm6sBMeQ-Jti2XM?e=ORkvOV</t>
  </si>
  <si>
    <t>CPD29P</t>
  </si>
  <si>
    <t>https://iconpln-my.sharepoint.com/:b:/g/personal/fadhilah_muhammad_iconpln_co_id/IQAEFsWYInv_SpVjETNtHmX6AfZ5EmW-m6khloclQnQA-m8?e=JfGei3</t>
  </si>
  <si>
    <t>GDN</t>
  </si>
  <si>
    <t>https://iconpln-my.sharepoint.com/:b:/g/personal/fadhilah_muhammad_iconpln_co_id/IQBpVGmJtapfQoNMZKpTbc81AVVptwDDauGzf4r1fe428j0?e=HyN4ah</t>
  </si>
  <si>
    <t>CPD59</t>
  </si>
  <si>
    <t>https://iconpln-my.sharepoint.com/:b:/g/personal/fadhilah_muhammad_iconpln_co_id/IQDyW7o_7onBS6QRgYSALAneAZUPFAW2hfAjw8E_1Lq85uw?e=6Qr4wA</t>
  </si>
  <si>
    <t>172.16.1.152</t>
  </si>
  <si>
    <t>AMI_RJKT_UP3CIKOKOL_RING_13</t>
  </si>
  <si>
    <t>https://iconpln-my.sharepoint.com/:b:/g/personal/fadhilah_muhammad_iconpln_co_id/IQAJfLf1yzL8TI7SgHq6KuB-AUwrYElyVW4-89c2cXR9hFI?e=WXDU5t</t>
  </si>
  <si>
    <t>CPD99</t>
  </si>
  <si>
    <t>https://iconpln-my.sharepoint.com/:b:/g/personal/fadhilah_muhammad_iconpln_co_id/IQByicXeSz-wQ65-xDbx8LZbAZNOyMkBK5QcqeikWw2lguw?e=nHBHt5</t>
  </si>
  <si>
    <t>CPD31P</t>
  </si>
  <si>
    <t>CPD24</t>
  </si>
  <si>
    <t>https://iconpln-my.sharepoint.com/:b:/g/personal/fadhilah_muhammad_iconpln_co_id/IQCCxZrFBAdSRbw7Txe6wLJzAWFwASAy8BfwaHBa06UybTg?e=BkVLu7</t>
  </si>
  <si>
    <t>CPD87</t>
  </si>
  <si>
    <t>BTC3</t>
  </si>
  <si>
    <t>CPD88</t>
  </si>
  <si>
    <t>CPD55</t>
  </si>
  <si>
    <t>CPD54</t>
  </si>
  <si>
    <t>https://iconpln-my.sharepoint.com/:b:/g/personal/fadhilah_muhammad_iconpln_co_id/IQAexsu0sSIJSrV6xD6LvhLzAXQDfp00jfkpgkhDMCPyXoM?e=px6xxy</t>
  </si>
  <si>
    <t>CPD34</t>
  </si>
  <si>
    <t>172.16.1.156</t>
  </si>
  <si>
    <t>SUDAH DI INPUT</t>
  </si>
  <si>
    <t>AMI_RJKT_UP3CIKOKOL_RING_14</t>
  </si>
  <si>
    <t>https://iconpln-my.sharepoint.com/:b:/g/personal/fadhilah_muhammad_iconpln_co_id/IQAFjviJgQd3QKEWES4eUUbWAdRJk6sYW8AunXXSaMzXPdE?e=vfBpke</t>
  </si>
  <si>
    <t>PNA11</t>
  </si>
  <si>
    <t>https://iconpln-my.sharepoint.com/:b:/g/personal/fadhilah_muhammad_iconpln_co_id/IQD6ptQzztKNRKmCzwt-dcdSAXoJEWTVlsVVuPLJS82iJeM?e=lCDWUQ</t>
  </si>
  <si>
    <t>NRT</t>
  </si>
  <si>
    <t>https://iconpln-my.sharepoint.com/:b:/g/personal/fadhilah_muhammad_iconpln_co_id/IQB2-HY2OMWOQoZtNa76Dl_sAZclIfaHJy1-NdhJrkkmrSE?e=J4gE4J</t>
  </si>
  <si>
    <t>PNA39</t>
  </si>
  <si>
    <t>https://iconpln-my.sharepoint.com/:b:/g/personal/fadhilah_muhammad_iconpln_co_id/IQCil4U-3_AFQLkp926Z2eAeAWEmTCqLoD0UgGxcCoCHI5g?e=AbhKel</t>
  </si>
  <si>
    <t>DK103</t>
  </si>
  <si>
    <t>PJ131</t>
  </si>
  <si>
    <t>https://iconpln-my.sharepoint.com/:b:/g/personal/fadhilah_muhammad_iconpln_co_id/IQC4YgYKIl2_RLXXu1TXtOQmASDL0iGrq-h1UxP0-zEbdw8?e=6Vg7oT</t>
  </si>
  <si>
    <t>TG172</t>
  </si>
  <si>
    <t>https://iconpln-my.sharepoint.com/:b:/g/personal/fadhilah_muhammad_iconpln_co_id/IQARUxhShh92TbxewSb-4jdcAYZk8bV0sT-UYri5NOqW5cU?e=B26x3R</t>
  </si>
  <si>
    <t>CPD15</t>
  </si>
  <si>
    <t>https://iconpln-my.sharepoint.com/:b:/g/personal/fadhilah_muhammad_iconpln_co_id/IQDiZOsfSs5JTIiksjRuaUF4ATUzKu8vLjvZI-wpOKte2AE?e=voUg6U</t>
  </si>
  <si>
    <t>CPD38</t>
  </si>
  <si>
    <t>172.16.1.160</t>
  </si>
  <si>
    <t>AMI_RJKT_UP3CIKOKOL_RING_15</t>
  </si>
  <si>
    <t>https://iconpln-my.sharepoint.com/:b:/g/personal/fadhilah_muhammad_iconpln_co_id/IQCjeWXkT97sS5Wv_z7OofHYAQn3jF8AccH-mzJNsYe9ugU?e=LtC4X1</t>
  </si>
  <si>
    <t>MA41/KPI21</t>
  </si>
  <si>
    <t>https://iconpln-my.sharepoint.com/:b:/g/personal/fadhilah_muhammad_iconpln_co_id/IQBrzuUQ6erUTYoV3MQ1YtQzATdvtv4acH4oOWmZANc7OsY?e=EZg09j</t>
  </si>
  <si>
    <t>TG47F</t>
  </si>
  <si>
    <t>https://iconpln-my.sharepoint.com/:b:/g/personal/fadhilah_muhammad_iconpln_co_id/IQCU7m6mu1SsR4flGqQ0Gc2oAdmAEGETKFUbTvWQ31qdw-I?e=DXJAX9</t>
  </si>
  <si>
    <t>KC136</t>
  </si>
  <si>
    <t>https://iconpln-my.sharepoint.com/:b:/g/personal/fadhilah_muhammad_iconpln_co_id/IQDF_eZl0Nr1Sa8p9OnMaBtGASukS7zec4F8XeYqtqH1Cqo?e=mnq714</t>
  </si>
  <si>
    <t>KC331</t>
  </si>
  <si>
    <t>https://iconpln-my.sharepoint.com/:b:/g/personal/fadhilah_muhammad_iconpln_co_id/IQBTh4dLULFmTJTdhUjyjrcZASJX4sutJAsx-1l9Djtp_yg?e=mNa4c1</t>
  </si>
  <si>
    <t>KC422</t>
  </si>
  <si>
    <t>https://iconpln-my.sharepoint.com/:b:/g/personal/fadhilah_muhammad_iconpln_co_id/IQDkF1Z-U2sRT7-clUuI3fmUAVE-Y8u8wRdZvhh7zOGQQQc?e=0QjsuU</t>
  </si>
  <si>
    <t>KC250</t>
  </si>
  <si>
    <t>https://iconpln-my.sharepoint.com/:b:/g/personal/fadhilah_muhammad_iconpln_co_id/IQCNA6TxWdmnRLh9hx8WiQBYAbWJghMwzKuSyVKQsQrS_IQ?e=aw80Dx</t>
  </si>
  <si>
    <t>KC251</t>
  </si>
  <si>
    <t>https://iconpln-my.sharepoint.com/:b:/g/personal/fadhilah_muhammad_iconpln_co_id/IQAYFtzOqk8LRY1aNFWT6l32AYRZ6Gk_PwCqdLVGhp7xe3M?e=eICcek</t>
  </si>
  <si>
    <t>CBD12</t>
  </si>
  <si>
    <t>https://iconpln-my.sharepoint.com/:b:/g/personal/fadhilah_muhammad_iconpln_co_id/IQCHEo7JHIvpQLR3Dpao3tP4AaTV_jzStksDFX3OTgXX4J0?e=P7adlW</t>
  </si>
  <si>
    <t>POP_1TGR022 CIKUPA UP3 ODC PLN</t>
  </si>
  <si>
    <t>172.16.1.164</t>
  </si>
  <si>
    <t>GI SHELTER PLN CIKUPA</t>
  </si>
  <si>
    <t>AMI_RJKT_UP3CIKOKOL_RING_16</t>
  </si>
  <si>
    <t>KC265</t>
  </si>
  <si>
    <t>https://iconpln-my.sharepoint.com/:b:/g/personal/fadhilah_muhammad_iconpln_co_id/IQCRyiz8lnLnQqeAxJaOFSDOAQjkAB5ZMZPZxx1cwp1NnPo?e=XFEaZo</t>
  </si>
  <si>
    <t>KC90K</t>
  </si>
  <si>
    <t>https://iconpln-my.sharepoint.com/:b:/g/personal/fadhilah_muhammad_iconpln_co_id/IQDwbxNoye_KQaA_6vX002xuAV2stDL8vJ6IDYDI7qpfYrM?e=KpcFmd</t>
  </si>
  <si>
    <t>KC479</t>
  </si>
  <si>
    <t>https://iconpln-my.sharepoint.com/:b:/g/personal/fadhilah_muhammad_iconpln_co_id/IQBnhtaPRDW5R6Hj1sGikcKPAa2DHTGD5HPD--1es7zb5cw?e=0Lg9Rx</t>
  </si>
  <si>
    <t>CBD23</t>
  </si>
  <si>
    <t>https://iconpln-my.sharepoint.com/:b:/g/personal/fadhilah_muhammad_iconpln_co_id/IQDuy8hIkEZkTphBgSuMyiw3AavYuD9StxUBLEY5iOF_eso?e=6GDPZc</t>
  </si>
  <si>
    <t>CMN</t>
  </si>
  <si>
    <t>https://iconpln-my.sharepoint.com/:b:/g/personal/fadhilah_muhammad_iconpln_co_id/IQAkbxDP3WkVRLiEQxm1AprIAREyw9ZRUPu807-Vz8ICm_s?e=ULkRHG</t>
  </si>
  <si>
    <t>CBD37</t>
  </si>
  <si>
    <t>https://iconpln-my.sharepoint.com/:b:/g/personal/fadhilah_muhammad_iconpln_co_id/IQBCqeHYLBO5TJTYZpC_g0JfAa46GiNtcytYrc92wBpzUWY?e=0xBwmu</t>
  </si>
  <si>
    <t>JTU45</t>
  </si>
  <si>
    <t>https://iconpln-my.sharepoint.com/:b:/g/personal/fadhilah_muhammad_iconpln_co_id/IQD8K-eQlpDkRLsxm7EGidR3AV-F4QsqqmJvAQsqEnJWbV4?e=4wFR91</t>
  </si>
  <si>
    <t>JTU50P</t>
  </si>
  <si>
    <t>https://iconpln-my.sharepoint.com/:b:/g/personal/fadhilah_muhammad_iconpln_co_id/IQBm8Vq1inXrRIPfs-jkrG4mAb8D5x8CBW34vrXKkwTR02g?e=4VVcHS</t>
  </si>
  <si>
    <t>172.16.1.168</t>
  </si>
  <si>
    <t>GIS SHELTER PLN BINTARO</t>
  </si>
  <si>
    <t>AMI_RJKT_UP3CIKOKOL_RING_17</t>
  </si>
  <si>
    <t>POP_1CPT011 BINTARO GIS SHELTER PLN</t>
  </si>
  <si>
    <t>https://iconpln-my.sharepoint.com/:b:/g/personal/fadhilah_muhammad_iconpln_co_id/IQDHAWNRsuwhSImrxgm8wH9jAbOeEO4a_J97wZ6gUJ1_zfw?e=ZFoKAP</t>
  </si>
  <si>
    <t>PJ106</t>
  </si>
  <si>
    <t>https://iconpln-my.sharepoint.com/:b:/g/personal/fadhilah_muhammad_iconpln_co_id/IQAXKEju0bYXRbE4dEgCnRjWAVfT_iruZSEn-RmPDoyEyBo?e=wmzReg</t>
  </si>
  <si>
    <t>CPD042</t>
  </si>
  <si>
    <t>https://iconpln-my.sharepoint.com/:b:/g/personal/fadhilah_muhammad_iconpln_co_id/IQBUtENAhHxzTaChOoHXdxkoAf51Eb9g6Kt-cU8NI9OtOyA?e=x0UeMr</t>
  </si>
  <si>
    <t>CPD13</t>
  </si>
  <si>
    <t>https://iconpln-my.sharepoint.com/:b:/g/personal/fadhilah_muhammad_iconpln_co_id/IQA4K8Q23srPSLwZnY8cwXhgAZMNv9sTz9KB2E6tGMkHtaA?e=F1TIiO</t>
  </si>
  <si>
    <t>DK220</t>
  </si>
  <si>
    <t>https://iconpln-my.sharepoint.com/:b:/g/personal/fadhilah_muhammad_iconpln_co_id/IQCSrseDszyQRZTnNogC5IZ7Aeug2GtexGaLugnIBJvchRg?e=GrIvsY</t>
  </si>
  <si>
    <t>PJ181P</t>
  </si>
  <si>
    <t>https://iconpln-my.sharepoint.com/:b:/g/personal/fadhilah_muhammad_iconpln_co_id/IQCvUws9L9LSSYnzQ1BeMRGYAc7Kz3jJdn7p8igjrmsVW-M?e=w8XEiz</t>
  </si>
  <si>
    <t>PNA42</t>
  </si>
  <si>
    <t>https://iconpln-my.sharepoint.com/:b:/g/personal/fadhilah_muhammad_iconpln_co_id/IQATayhOPJGrSK-lRJaahORyAcyrgDWLKVZWLtl4O29KZLU?e=M2rE1j</t>
  </si>
  <si>
    <t>CKK5</t>
  </si>
  <si>
    <t>https://iconpln-my.sharepoint.com/:b:/g/personal/fadhilah_muhammad_iconpln_co_id/IQD8GVninmDnSbpp6aQAAKh2AVJEXyoFT_hCylbtyEgXiEk?e=fPNVGL</t>
  </si>
  <si>
    <t>CKK5S</t>
  </si>
  <si>
    <t>https://iconpln-my.sharepoint.com/:b:/g/personal/fadhilah_muhammad_iconpln_co_id/IQBaljk0Vw34S5c4RWJywzJnAfkitA4fExZC22h3XWQMAmY?e=owHM2m</t>
  </si>
  <si>
    <t>172.16.1.84</t>
  </si>
  <si>
    <t>AMI_RJKT_UP3CIKOKOL_RING_18</t>
  </si>
  <si>
    <t>POP_1GGP016 GH MK47 AREA BANDENGAN MINI PLN</t>
  </si>
  <si>
    <t>https://iconpln-my.sharepoint.com/:b:/g/personal/fadhilah_muhammad_iconpln_co_id/IQD_CXGF2FziSLlm9XO4o2ItATdcxhXuNaOP_B6AqTFQm5M?e=GUIE1v</t>
  </si>
  <si>
    <t>PJ22</t>
  </si>
  <si>
    <t>https://iconpln-my.sharepoint.com/:b:/g/personal/fadhilah_muhammad_iconpln_co_id/IQB_YZuotn67TIKSeo-sJHUhAdAEcbZ2UGBnr7pP-dLSfyQ?e=5JDknI</t>
  </si>
  <si>
    <t>TG5C</t>
  </si>
  <si>
    <t>https://iconpln-my.sharepoint.com/:b:/g/personal/fadhilah_muhammad_iconpln_co_id/IQDEhzxI2dyyRbbN-NFDAU--AaRutgg_MoqpK4D4bcCrhLw?e=ylXTcW</t>
  </si>
  <si>
    <t>TG198S</t>
  </si>
  <si>
    <t>https://iconpln-my.sharepoint.com/:b:/g/personal/fadhilah_muhammad_iconpln_co_id/IQBI6fjE94JoQYeYOmXjrYICAWRWPOt5Jxon4bvMNQ0gqiA?e=qBmG5r</t>
  </si>
  <si>
    <t>TGR85</t>
  </si>
  <si>
    <t>https://iconpln-my.sharepoint.com/:b:/g/personal/fadhilah_muhammad_iconpln_co_id/IQDZrTvKThgNSoWY4AFN9Bu-AZmS0FMnLfGp9JVjBBO2x30?e=YbrDde</t>
  </si>
  <si>
    <t>TG501</t>
  </si>
  <si>
    <t>https://iconpln-my.sharepoint.com/:b:/g/personal/fadhilah_muhammad_iconpln_co_id/IQDeVcbnp_ysQYvLdIvEDQfFAYs4anZMsZP-2NRRMS5Q-MM?e=XdzYpb</t>
  </si>
  <si>
    <t>TGR84</t>
  </si>
  <si>
    <t>https://iconpln-my.sharepoint.com/:b:/g/personal/fadhilah_muhammad_iconpln_co_id/IQCrtsOC1Ng-TqxXFnq4VzP7AXR85Yx8OtIeCV_a5FdVa4A?e=e9AOFq</t>
  </si>
  <si>
    <t>TG197</t>
  </si>
  <si>
    <t>https://iconpln-my.sharepoint.com/:b:/g/personal/fadhilah_muhammad_iconpln_co_id/IQAQJY8YQ0gsSbKq6sfb8CA3AZroumueaFFC20KPzeBxMeY?e=C6RNmQ</t>
  </si>
  <si>
    <t>PJ6</t>
  </si>
  <si>
    <t>https://iconpln-my.sharepoint.com/:b:/g/personal/fadhilah_muhammad_iconpln_co_id/IQAyPO8OMLaJQ76euD_GIQCeAYTaYySY6H1uYaeZCyRwgVE?e=nIbbph</t>
  </si>
  <si>
    <t>POP_1GGP043 GH BC151 AREA CENGKARENG MINI PLN</t>
  </si>
  <si>
    <t>172.16.1.176</t>
  </si>
  <si>
    <t>AMI_RJKT_UP3CIKOKOL_RING_19</t>
  </si>
  <si>
    <t>https://iconpln-my.sharepoint.com/:b:/g/personal/fadhilah_muhammad_iconpln_co_id/IQDjyJmWqD7RRr9Jwg9B7RLRAbUHuoCM81Rxn1y0e8M98Ww?e=eGO7A3</t>
  </si>
  <si>
    <t>KC135</t>
  </si>
  <si>
    <t>https://iconpln-my.sharepoint.com/:b:/g/personal/fadhilah_muhammad_iconpln_co_id/IQDYjUcoLoCiSZS9l94DH-17AQsyURRwU0DRZEVPF3AxCgU?e=vMteH7</t>
  </si>
  <si>
    <t>JTU19</t>
  </si>
  <si>
    <t>https://iconpln-my.sharepoint.com/:b:/g/personal/fadhilah_muhammad_iconpln_co_id/IQB_XPoCscvSRKt8pzezqwaCASTa_a2TNyj4t0g_2KGKX8Q?e=Ch90oJ</t>
  </si>
  <si>
    <t>KC297</t>
  </si>
  <si>
    <t>https://iconpln-my.sharepoint.com/:b:/g/personal/fadhilah_muhammad_iconpln_co_id/IQDrONeM9K50TYWPs_J9rl5QAbQosEA5MF1OYRd80pyZc4k?e=LEIwhD</t>
  </si>
  <si>
    <t>KC374</t>
  </si>
  <si>
    <t>https://iconpln-my.sharepoint.com/:b:/g/personal/fadhilah_muhammad_iconpln_co_id/IQDxsEYtgAisT489I7QuCSx0AdDxi-m-hq8YpsgXIVCGwLI?e=FWda7m</t>
  </si>
  <si>
    <t>KRW13</t>
  </si>
  <si>
    <t>https://iconpln-my.sharepoint.com/:b:/g/personal/fadhilah_muhammad_iconpln_co_id/IQDf--WWTSPmT5vZ6Q-uJ-YOAXpZeRHgtOTKwVGvViZPsW8?e=ldzeJV</t>
  </si>
  <si>
    <t>KC33</t>
  </si>
  <si>
    <t>https://iconpln-my.sharepoint.com/:b:/g/personal/fadhilah_muhammad_iconpln_co_id/IQC8BRQ4RXSZSoo66tj-ppM4AXYky3T5Ljf1pZ-k9DYpxn8?e=f04xEH</t>
  </si>
  <si>
    <t>KRW4</t>
  </si>
  <si>
    <t>https://iconpln-my.sharepoint.com/:b:/g/personal/fadhilah_muhammad_iconpln_co_id/IQCkNIkSW5dBSpxI8mErJNTdAaK7cfeizwKLkolQUtFeMmw?e=M4m7Mu</t>
  </si>
  <si>
    <t>TG144</t>
  </si>
  <si>
    <t>https://iconpln-my.sharepoint.com/:b:/g/personal/fadhilah_muhammad_iconpln_co_id/IQA0UpEJdfJ0TLIidzVdhc8wAfnjyV2_vX-1wNbJQVnTLDI?e=4Sgabr</t>
  </si>
  <si>
    <t>POP_1TGR009 BALARAJA GI SHELTER PLN</t>
  </si>
  <si>
    <t>172.16.1.180</t>
  </si>
  <si>
    <t>GI SHELTER PLN BALARAJA</t>
  </si>
  <si>
    <t>AMI_RJKT_UP3CIKOKOL_RING_20</t>
  </si>
  <si>
    <t>https://iconpln-my.sharepoint.com/:b:/g/personal/fadhilah_muhammad_iconpln_co_id/IQDmgYltRSD4Sr3kdPMQ1iX4AcmfOplUzVfrzwl4kgNZnJc?e=TMBEw7</t>
  </si>
  <si>
    <t>TG123A</t>
  </si>
  <si>
    <t>https://iconpln-my.sharepoint.com/:b:/g/personal/fadhilah_muhammad_iconpln_co_id/IQBIrXdNaMtSTqAupE33FE63Ae8tg5farRTg6rrLCWuw7RQ?e=bdFm1d</t>
  </si>
  <si>
    <t>KC53</t>
  </si>
  <si>
    <t>https://iconpln-my.sharepoint.com/:b:/g/personal/fadhilah_muhammad_iconpln_co_id/IQAu1BwAR3n_Qa5unPFWErMbAYWZ7ggL-U-HsPoN_N5R25o?e=5WwZ9g</t>
  </si>
  <si>
    <t>CBD8</t>
  </si>
  <si>
    <t>https://iconpln-my.sharepoint.com/:b:/g/personal/fadhilah_muhammad_iconpln_co_id/IQBncnawz8vyQJFakfeNLRwSAcUOU5fxgLkcD8Y2VePEc1c?e=7Qk5JO</t>
  </si>
  <si>
    <t>KC58</t>
  </si>
  <si>
    <t>https://iconpln-my.sharepoint.com/:b:/g/personal/fadhilah_muhammad_iconpln_co_id/IQCDe1LPcq0iTJeB95mdlzSxAXuFbd5Zky3ltpok7GtA9dE?e=2ydsxW</t>
  </si>
  <si>
    <t>PNA60</t>
  </si>
  <si>
    <t>https://iconpln-my.sharepoint.com/:b:/g/personal/fadhilah_muhammad_iconpln_co_id/IQD8shBhGS51T61qaFEH7eMhAS1wxqEDew2SnHfAq5sxwB0?e=vatImG</t>
  </si>
  <si>
    <t>PNA1</t>
  </si>
  <si>
    <t>https://iconpln-my.sharepoint.com/:b:/g/personal/fadhilah_muhammad_iconpln_co_id/IQAYoGffPaa-RpRMgTxMCnXKAWbzW1ZJnVhHKUT8PWU1fjY?e=QgnW23</t>
  </si>
  <si>
    <t>PNA56</t>
  </si>
  <si>
    <t>https://iconpln-my.sharepoint.com/:b:/g/personal/fadhilah_muhammad_iconpln_co_id/IQBYt7IL7dPxRql_w6uKyGynAWyLKP59GCclmZoRF2tibg4?e=y0jFla</t>
  </si>
  <si>
    <t>172.16.1.184</t>
  </si>
  <si>
    <t>AMI_RJKT_UP3CIKOKOL_RING_21</t>
  </si>
  <si>
    <t>https://iconpln-my.sharepoint.com/:b:/g/personal/fadhilah_muhammad_iconpln_co_id/IQBZHhpJnCyIRYcxLmasMS2oAS7CkA9QablGfX4E7ugD5Hk?e=MaGQKr</t>
  </si>
  <si>
    <t>KC488P</t>
  </si>
  <si>
    <t>https://iconpln-my.sharepoint.com/:b:/g/personal/fadhilah_muhammad_iconpln_co_id/IQCCn8HAzobyR6cPT0lnk9uAASOky6WwQC0uUzigjxS4vi8?e=WCsyml</t>
  </si>
  <si>
    <t>KRW22P</t>
  </si>
  <si>
    <t>https://iconpln-my.sharepoint.com/:b:/g/personal/fadhilah_muhammad_iconpln_co_id/IQDRQjEb-ZUrS6VohaHeGl-KATlxLDUQhOeSmFBTreUYSK0?e=F4GmeS</t>
  </si>
  <si>
    <t>KC369</t>
  </si>
  <si>
    <t>https://iconpln-my.sharepoint.com/:b:/g/personal/fadhilah_muhammad_iconpln_co_id/IQCWPkKV13hxT7Tsf0ie4WZyAYbVdVd5_J-Yxj5d4lTJA0g?e=07e5fO</t>
  </si>
  <si>
    <t>KC465P</t>
  </si>
  <si>
    <t>https://iconpln-my.sharepoint.com/:b:/g/personal/fadhilah_muhammad_iconpln_co_id/IQDBTYRGtVwFQKdnyA4ZTwLaAZ32e-FWx2UcCYiJT6_-LAw?e=XLPPex</t>
  </si>
  <si>
    <t>KC464P</t>
  </si>
  <si>
    <t>https://iconpln-my.sharepoint.com/:b:/g/personal/fadhilah_muhammad_iconpln_co_id/IQB9ePMvxyVPSqmtfv2_8JdHAWn7xYsJZJ86rVQFgQoblZE?e=wxkEM9</t>
  </si>
  <si>
    <t>PNG</t>
  </si>
  <si>
    <t>https://iconpln-my.sharepoint.com/:b:/g/personal/fadhilah_muhammad_iconpln_co_id/IQDGEI8c7KdTSYetky9o-rJvAX1SvrCRWPlY25ImVHAWWHs?e=jqIOxL</t>
  </si>
  <si>
    <t>PNG1S</t>
  </si>
  <si>
    <t>https://iconpln-my.sharepoint.com/:b:/g/personal/fadhilah_muhammad_iconpln_co_id/IQD0TtGwEQ3MTo09iXIDjVyaATqpISIWvEyoC6aTWRm5Bww?e=COijgs</t>
  </si>
  <si>
    <t>KC498T</t>
  </si>
  <si>
    <t>https://iconpln-my.sharepoint.com/:b:/g/personal/fadhilah_muhammad_iconpln_co_id/IQCzKqiB52USSr1stoKYZ8I7AUXfDc8zich3Xw4ItyQI_Xk?e=SvBm9R</t>
  </si>
  <si>
    <t>172.16.1.188</t>
  </si>
  <si>
    <t>GI PLN PASAR KEMIS</t>
  </si>
  <si>
    <t>AMI_RJKT_UP3CIKOKOL_RING_22</t>
  </si>
  <si>
    <t>POP_1TGR011 PASAR KEMIS GI PLN</t>
  </si>
  <si>
    <t>https://iconpln-my.sharepoint.com/:b:/g/personal/fadhilah_muhammad_iconpln_co_id/IQA9UcG2l4ohSYKgeepuQOeCAYx4e3az4XW9FS-s-Z3qdDY?e=UIt149</t>
  </si>
  <si>
    <t>KC381</t>
  </si>
  <si>
    <t>https://iconpln-my.sharepoint.com/:b:/g/personal/fadhilah_muhammad_iconpln_co_id/IQD8KB_FgsUlTYE8xq_ieQYvAUGkvod41G1C9pH9GBCV76g?e=YVxhUc</t>
  </si>
  <si>
    <t>KC273</t>
  </si>
  <si>
    <t>https://iconpln-my.sharepoint.com/:b:/g/personal/fadhilah_muhammad_iconpln_co_id/IQA6jc7Una8hTYbO6-KNlW2xAYFes13DO0iUP0lu-kB4Vmg?e=672wOc</t>
  </si>
  <si>
    <t>TG150</t>
  </si>
  <si>
    <t>https://iconpln-my.sharepoint.com/:b:/g/personal/fadhilah_muhammad_iconpln_co_id/IQBJWHs987oUT45mdC0rcTDdAQnE-sYikSaWMZjz33oTHZY?e=Mk5Wgb</t>
  </si>
  <si>
    <t>TG310</t>
  </si>
  <si>
    <t>https://iconpln-my.sharepoint.com/:b:/g/personal/fadhilah_muhammad_iconpln_co_id/IQBAcHs-3THPSZOeTqVyVyLqAXxC9mi1P260Zdo4EnMTMLA?e=VJd75C</t>
  </si>
  <si>
    <t>MA96</t>
  </si>
  <si>
    <t>https://iconpln-my.sharepoint.com/:b:/g/personal/fadhilah_muhammad_iconpln_co_id/IQA1l-BJh0GTQ5Iz7-8JoQB1ARyUW4s3ukukcr8chOqSUsg?e=XzffFD</t>
  </si>
  <si>
    <t>TG339</t>
  </si>
  <si>
    <t>https://iconpln-my.sharepoint.com/:b:/g/personal/fadhilah_muhammad_iconpln_co_id/IQAs-yk-RcSMRoJBfX0aXF6uASa9qI-2FN6shwgOoEOoS3c?e=6b0kfx</t>
  </si>
  <si>
    <t>KRW61</t>
  </si>
  <si>
    <t>https://iconpln-my.sharepoint.com/:b:/g/personal/fadhilah_muhammad_iconpln_co_id/IQDXDU535r-5TZKEVJdr1wZ2AZNBZwaekNQbC7xwr6606pA?e=ycYoCZ</t>
  </si>
  <si>
    <t>KC295</t>
  </si>
  <si>
    <t>https://iconpln-my.sharepoint.com/:b:/g/personal/fadhilah_muhammad_iconpln_co_id/IQCGULgsw4HUTawO79Yt1oxyAfAmktgjMtavR4KZQBDSr4s?e=AgL8kN</t>
  </si>
  <si>
    <t>172.16.1.192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</si>
</sst>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charset val="134"/>
      <scheme val="minor"/>
    </font>
    <font>
      <b/>
      <sz val="12"/>
      <color rgb="FFFF0000"/>
      <name val="Calibri"/>
      <family val="2"/>
    </font>
    <font>
      <sz val="10"/>
      <color rgb="FFFF0000"/>
      <name val="Ebrima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FF0000"/>
      <name val="Calibri"/>
      <family val="2"/>
    </font>
    <font>
      <sz val="11"/>
      <color theme="1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3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 wrapText="1" readingOrder="1"/>
    </xf>
    <xf numFmtId="3" fontId="1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3" fontId="1" fillId="3" borderId="11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3" fontId="0" fillId="0" borderId="0" xfId="0" applyNumberFormat="1"/>
    <xf numFmtId="0" fontId="8" fillId="3" borderId="11" xfId="2" applyFill="1" applyBorder="1" applyAlignment="1">
      <alignment horizontal="left" vertical="center" wrapText="1"/>
    </xf>
    <xf numFmtId="3" fontId="1" fillId="3" borderId="11" xfId="0" applyNumberFormat="1" applyFont="1" applyFill="1" applyBorder="1" applyAlignment="1">
      <alignment horizontal="center" vertical="center" wrapText="1"/>
    </xf>
    <xf numFmtId="0" fontId="8" fillId="3" borderId="1" xfId="2" applyFill="1" applyBorder="1" applyAlignment="1">
      <alignment horizontal="left" vertical="center" wrapText="1"/>
    </xf>
    <xf numFmtId="0" fontId="8" fillId="3" borderId="1" xfId="2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3" borderId="5" xfId="2" applyFill="1" applyBorder="1" applyAlignment="1">
      <alignment horizontal="left" vertical="center" wrapText="1"/>
    </xf>
    <xf numFmtId="0" fontId="8" fillId="0" borderId="0" xfId="2" applyAlignment="1">
      <alignment wrapText="1"/>
    </xf>
    <xf numFmtId="16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8" fillId="3" borderId="11" xfId="2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left" vertical="center"/>
    </xf>
    <xf numFmtId="3" fontId="1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 readingOrder="1"/>
    </xf>
    <xf numFmtId="3" fontId="1" fillId="3" borderId="13" xfId="0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8" fillId="3" borderId="1" xfId="2" quotePrefix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:b:/g/personal/fadhilah_muhammad_iconpln_co_id/IQB_XPoCscvSRKt8pzezqwaCASTa_a2TNyj4t0g_2KGKX8Q?e=Ch90oJ" TargetMode="External"/><Relationship Id="rId21" Type="http://schemas.openxmlformats.org/officeDocument/2006/relationships/hyperlink" Target="../../../../../../../:b:/g/personal/fadhilah_muhammad_iconpln_co_id/IQCHpX3JsQihTqnrVqs1nQh3AZB30WwJLR3ppggldR7ar70?e=2nOcay" TargetMode="External"/><Relationship Id="rId42" Type="http://schemas.openxmlformats.org/officeDocument/2006/relationships/hyperlink" Target="../../../../../../../:b:/g/personal/fadhilah_muhammad_iconpln_co_id/IQCZ5Yr-nD18QqoDVTFDsh44AbzHMULcDWIAhb9sdWbkWPs?e=qf7uRC" TargetMode="External"/><Relationship Id="rId63" Type="http://schemas.openxmlformats.org/officeDocument/2006/relationships/hyperlink" Target="../../../../../../../:b:/g/personal/fadhilah_muhammad_iconpln_co_id/IQC6BrueJxVbTJJRojjeet1gAR6V2WEUvMephYDO1eQWfAs?e=uadplT" TargetMode="External"/><Relationship Id="rId84" Type="http://schemas.openxmlformats.org/officeDocument/2006/relationships/hyperlink" Target="../../../../../../../:b:/g/personal/fadhilah_muhammad_iconpln_co_id/IQB2-HY2OMWOQoZtNa76Dl_sAZclIfaHJy1-NdhJrkkmrSE?e=J4gE4J" TargetMode="External"/><Relationship Id="rId138" Type="http://schemas.openxmlformats.org/officeDocument/2006/relationships/hyperlink" Target="../../../../../../../:b:/g/personal/fadhilah_muhammad_iconpln_co_id/IQDGEI8c7KdTSYetky9o-rJvAX1SvrCRWPlY25ImVHAWWHs?e=jqIOxL" TargetMode="External"/><Relationship Id="rId159" Type="http://schemas.openxmlformats.org/officeDocument/2006/relationships/hyperlink" Target="../../../../../../../:b:/g/personal/fadhilah_muhammad_iconpln_co_id/IQDqsDEjLzGWR5TBGqqlZ6E2Aci-xY_9xTFiQYVhJ5jebGc?e=wExlQ6" TargetMode="External"/><Relationship Id="rId170" Type="http://schemas.openxmlformats.org/officeDocument/2006/relationships/hyperlink" Target="../../../../../../../:b:/g/personal/fadhilah_muhammad_iconpln_co_id/IQD6pnZc8TV2T7KR2brRSXjLAfVcAvqpIm6sBMeQ-Jti2XM?e=ORkvOV" TargetMode="External"/><Relationship Id="rId107" Type="http://schemas.openxmlformats.org/officeDocument/2006/relationships/hyperlink" Target="../../../../../../../:b:/g/personal/fadhilah_muhammad_iconpln_co_id/IQB_YZuotn67TIKSeo-sJHUhAdAEcbZ2UGBnr7pP-dLSfyQ?e=5JDknI" TargetMode="External"/><Relationship Id="rId11" Type="http://schemas.openxmlformats.org/officeDocument/2006/relationships/hyperlink" Target="../../../../../../../:b:/g/personal/fadhilah_muhammad_iconpln_co_id/IQB3X7ll84x8S4u1oEr6zX0NAcwI9drNIaAWSYEEwyq1jo8?e=zyx26R" TargetMode="External"/><Relationship Id="rId32" Type="http://schemas.openxmlformats.org/officeDocument/2006/relationships/hyperlink" Target="../../../../../../../:b:/g/personal/fadhilah_muhammad_iconpln_co_id/IQA62Kgz4yv8Q6o7P3leenUdAab8kKaS7vdG9j2Py4A-gjE?e=q376QQ" TargetMode="External"/><Relationship Id="rId53" Type="http://schemas.openxmlformats.org/officeDocument/2006/relationships/hyperlink" Target="../../../../../../../:b:/g/personal/fadhilah_muhammad_iconpln_co_id/IQCv9sZxZVHnS4oMzfLGLzPFASo1PttJqbCjV9gXuCfwxEQ?e=h2c4or" TargetMode="External"/><Relationship Id="rId74" Type="http://schemas.openxmlformats.org/officeDocument/2006/relationships/hyperlink" Target="../../../../../../../:b:/g/personal/fadhilah_muhammad_iconpln_co_id/IQCTQYssx7K3TZkACz6csk-XARCKtZXGE3SNo9Z1ZTeGArE?e=0Dv7w1" TargetMode="External"/><Relationship Id="rId128" Type="http://schemas.openxmlformats.org/officeDocument/2006/relationships/hyperlink" Target="../../../../../../../:b:/g/personal/fadhilah_muhammad_iconpln_co_id/IQCDe1LPcq0iTJeB95mdlzSxAXuFbd5Zky3ltpok7GtA9dE?e=2ydsxW" TargetMode="External"/><Relationship Id="rId149" Type="http://schemas.openxmlformats.org/officeDocument/2006/relationships/hyperlink" Target="../../../../../../../:b:/g/personal/fadhilah_muhammad_iconpln_co_id/IQCGULgsw4HUTawO79Yt1oxyAfAmktgjMtavR4KZQBDSr4s?e=AgL8kN" TargetMode="External"/><Relationship Id="rId5" Type="http://schemas.openxmlformats.org/officeDocument/2006/relationships/hyperlink" Target="../../../../../../../:b:/g/personal/fadhilah_muhammad_iconpln_co_id/IQBGZp0K3SeaTacrHY_RsNITAX1pcuyBV8MG3kdxwgyL6j0?e=iYQlrk" TargetMode="External"/><Relationship Id="rId95" Type="http://schemas.openxmlformats.org/officeDocument/2006/relationships/hyperlink" Target="../../../../../../../:b:/g/personal/fadhilah_muhammad_iconpln_co_id/IQD8K-eQlpDkRLsxm7EGidR3AV-F4QsqqmJvAQsqEnJWbV4?e=4wFR91" TargetMode="External"/><Relationship Id="rId160" Type="http://schemas.openxmlformats.org/officeDocument/2006/relationships/hyperlink" Target="../../../../../../../:b:/g/personal/fadhilah_muhammad_iconpln_co_id/IQBKSWg56ngrSohsN_6Iyjt5AWL2quUSV1JeFQ0j0eSkeL4?e=Lkvuff" TargetMode="External"/><Relationship Id="rId181" Type="http://schemas.openxmlformats.org/officeDocument/2006/relationships/hyperlink" Target="https://iconpln-my.sharepoint.com/:b:/g/personal/fadhilah_muhammad_iconpln_co_id/IQByicXeSz-wQ65-xDbx8LZbAZNOyMkBK5QcqeikWw2lguw?e=nHBHt5" TargetMode="External"/><Relationship Id="rId22" Type="http://schemas.openxmlformats.org/officeDocument/2006/relationships/hyperlink" Target="../../../../../../../:b:/g/personal/fadhilah_muhammad_iconpln_co_id/IQDrNT0hYgMxTI3r2mj7Skb0AaJ4MImJ8lUSD-HyaEz0HyI?e=6aHtQr" TargetMode="External"/><Relationship Id="rId43" Type="http://schemas.openxmlformats.org/officeDocument/2006/relationships/hyperlink" Target="../../../../../../../:b:/g/personal/fadhilah_muhammad_iconpln_co_id/IQBrzGeqLsUeT6aHfoNiE5qJAbHmyFt3CYvFHb_IXIjEe6I?e=9akqDp" TargetMode="External"/><Relationship Id="rId64" Type="http://schemas.openxmlformats.org/officeDocument/2006/relationships/hyperlink" Target="../../../../../../../:b:/g/personal/fadhilah_muhammad_iconpln_co_id/IQCjQVSRTSuzSrhC-e8S8sVbAbBhA5Eo8zayJh2Ju4gnkcU?e=UeJshf" TargetMode="External"/><Relationship Id="rId118" Type="http://schemas.openxmlformats.org/officeDocument/2006/relationships/hyperlink" Target="../../../../../../../:b:/g/personal/fadhilah_muhammad_iconpln_co_id/IQDrONeM9K50TYWPs_J9rl5QAbQosEA5MF1OYRd80pyZc4k?e=LEIwhD" TargetMode="External"/><Relationship Id="rId139" Type="http://schemas.openxmlformats.org/officeDocument/2006/relationships/hyperlink" Target="../../../../../../../:b:/g/personal/fadhilah_muhammad_iconpln_co_id/IQD0TtGwEQ3MTo09iXIDjVyaATqpISIWvEyoC6aTWRm5Bww?e=COijgs" TargetMode="External"/><Relationship Id="rId85" Type="http://schemas.openxmlformats.org/officeDocument/2006/relationships/hyperlink" Target="../../../../../../../:b:/g/personal/fadhilah_muhammad_iconpln_co_id/IQCil4U-3_AFQLkp926Z2eAeAWEmTCqLoD0UgGxcCoCHI5g?e=AbhKel" TargetMode="External"/><Relationship Id="rId150" Type="http://schemas.openxmlformats.org/officeDocument/2006/relationships/hyperlink" Target="../../../../../../../:b:/g/personal/fadhilah_muhammad_iconpln_co_id/IQCjeWXkT97sS5Wv_z7OofHYAQn3jF8AccH-mzJNsYe9ugU?e=LtC4X1" TargetMode="External"/><Relationship Id="rId171" Type="http://schemas.openxmlformats.org/officeDocument/2006/relationships/hyperlink" Target="../../../../../../../:b:/g/personal/fadhilah_muhammad_iconpln_co_id/IQAEFsWYInv_SpVjETNtHmX6AfZ5EmW-m6khloclQnQA-m8?e=JfGei3" TargetMode="External"/><Relationship Id="rId12" Type="http://schemas.openxmlformats.org/officeDocument/2006/relationships/hyperlink" Target="../../../../../../../:b:/g/personal/fadhilah_muhammad_iconpln_co_id/IQC83h4VFXOYQLAIxtsYMm4GAROEr46AE_nkSFGxpQraF4k?e=zwLEqv" TargetMode="External"/><Relationship Id="rId33" Type="http://schemas.openxmlformats.org/officeDocument/2006/relationships/hyperlink" Target="../../../../../../../:b:/g/personal/fadhilah_muhammad_iconpln_co_id/IQA7bP4IZs2nRY-kBPyMi8ANAe6rFjN2e07yQBfg_LM-fVg?e=rWIYWd" TargetMode="External"/><Relationship Id="rId108" Type="http://schemas.openxmlformats.org/officeDocument/2006/relationships/hyperlink" Target="../../../../../../../:b:/g/personal/fadhilah_muhammad_iconpln_co_id/IQDEhzxI2dyyRbbN-NFDAU--AaRutgg_MoqpK4D4bcCrhLw?e=ylXTcW" TargetMode="External"/><Relationship Id="rId129" Type="http://schemas.openxmlformats.org/officeDocument/2006/relationships/hyperlink" Target="../../../../../../../:b:/g/personal/fadhilah_muhammad_iconpln_co_id/IQD8shBhGS51T61qaFEH7eMhAS1wxqEDew2SnHfAq5sxwB0?e=vatImG" TargetMode="External"/><Relationship Id="rId54" Type="http://schemas.openxmlformats.org/officeDocument/2006/relationships/hyperlink" Target="../../../../../../../:b:/g/personal/fadhilah_muhammad_iconpln_co_id/IQA3BEHliuztSqkfV1y7xblDAa4MXbBYvgC5zfDXKR0zadA?e=EC3NmU" TargetMode="External"/><Relationship Id="rId75" Type="http://schemas.openxmlformats.org/officeDocument/2006/relationships/hyperlink" Target="../../../../../../../:b:/g/personal/fadhilah_muhammad_iconpln_co_id/IQDEAiJeO__ASpNbfBKVghu2Ac1bGQDowBHQUEJjdFj7Ye0?e=gBOdEM" TargetMode="External"/><Relationship Id="rId96" Type="http://schemas.openxmlformats.org/officeDocument/2006/relationships/hyperlink" Target="../../../../../../../:b:/g/personal/fadhilah_muhammad_iconpln_co_id/IQBm8Vq1inXrRIPfs-jkrG4mAb8D5x8CBW34vrXKkwTR02g?e=4VVcHS" TargetMode="External"/><Relationship Id="rId140" Type="http://schemas.openxmlformats.org/officeDocument/2006/relationships/hyperlink" Target="../../../../../../../:b:/g/personal/fadhilah_muhammad_iconpln_co_id/IQCzKqiB52USSr1stoKYZ8I7AUXfDc8zich3Xw4ItyQI_Xk?e=SvBm9R" TargetMode="External"/><Relationship Id="rId161" Type="http://schemas.openxmlformats.org/officeDocument/2006/relationships/hyperlink" Target="../../../../../../../:b:/g/personal/fadhilah_muhammad_iconpln_co_id/IQDYhDo9PdVARLSgxrbwRJIgAUh-WJrsawGYo1ePtO7XARc?e=qMFdSw" TargetMode="External"/><Relationship Id="rId182" Type="http://schemas.openxmlformats.org/officeDocument/2006/relationships/hyperlink" Target="https://iconpln-my.sharepoint.com/:b:/g/personal/fadhilah_muhammad_iconpln_co_id/IQAexsu0sSIJSrV6xD6LvhLzAXQDfp00jfkpgkhDMCPyXoM?e=px6xxy" TargetMode="External"/><Relationship Id="rId6" Type="http://schemas.openxmlformats.org/officeDocument/2006/relationships/hyperlink" Target="../../../../../../../:b:/g/personal/fadhilah_muhammad_iconpln_co_id/IQDTV19cmnh5T6ZPrnhFemGSAeajTw1rnN8hmRzDSFDi5-s?e=6OFuwh" TargetMode="External"/><Relationship Id="rId23" Type="http://schemas.openxmlformats.org/officeDocument/2006/relationships/hyperlink" Target="../../../../../../../:b:/g/personal/fadhilah_muhammad_iconpln_co_id/IQBjEPZ7P9j_T5t4a-6bDKkdAWcOHNBeYNB7eDpWHIMLqh8?e=09tGUN" TargetMode="External"/><Relationship Id="rId119" Type="http://schemas.openxmlformats.org/officeDocument/2006/relationships/hyperlink" Target="../../../../../../../:b:/g/personal/fadhilah_muhammad_iconpln_co_id/IQDxsEYtgAisT489I7QuCSx0AdDxi-m-hq8YpsgXIVCGwLI?e=FWda7m" TargetMode="External"/><Relationship Id="rId44" Type="http://schemas.openxmlformats.org/officeDocument/2006/relationships/hyperlink" Target="../../../../../../../:b:/g/personal/fadhilah_muhammad_iconpln_co_id/IQBkdSM0Pa8QSLN6ClfZ2y6sAWa-JB9lTPgVu9eJCzeIYiY?e=6uzr0V" TargetMode="External"/><Relationship Id="rId60" Type="http://schemas.openxmlformats.org/officeDocument/2006/relationships/hyperlink" Target="../../../../../../../:b:/g/personal/fadhilah_muhammad_iconpln_co_id/IQD5Lk20R_vIQYF-iZaxLyO2ARns82fbiwLnpIGgAQHT_Co?e=pqbnfb" TargetMode="External"/><Relationship Id="rId65" Type="http://schemas.openxmlformats.org/officeDocument/2006/relationships/hyperlink" Target="../../../../../../../:b:/g/personal/fadhilah_muhammad_iconpln_co_id/IQAHgy3nr5VMTase5bSr4ABXAb39h1jhRL95yRyRJ267QQk?e=2gUTSd" TargetMode="External"/><Relationship Id="rId81" Type="http://schemas.openxmlformats.org/officeDocument/2006/relationships/hyperlink" Target="../../../../../../../:b:/g/personal/fadhilah_muhammad_iconpln_co_id/IQDryGGujmykTKClZK133qDVASuccmyjLXDwqvoghZmouNQ?e=LJKbGW" TargetMode="External"/><Relationship Id="rId86" Type="http://schemas.openxmlformats.org/officeDocument/2006/relationships/hyperlink" Target="../../../../../../../:b:/g/personal/fadhilah_muhammad_iconpln_co_id/IQC4YgYKIl2_RLXXu1TXtOQmASDL0iGrq-h1UxP0-zEbdw8?e=6Vg7oT" TargetMode="External"/><Relationship Id="rId130" Type="http://schemas.openxmlformats.org/officeDocument/2006/relationships/hyperlink" Target="../../../../../../../:b:/g/personal/fadhilah_muhammad_iconpln_co_id/IQAYoGffPaa-RpRMgTxMCnXKAWbzW1ZJnVhHKUT8PWU1fjY?e=QgnW23" TargetMode="External"/><Relationship Id="rId135" Type="http://schemas.openxmlformats.org/officeDocument/2006/relationships/hyperlink" Target="../../../../../../../:b:/g/personal/fadhilah_muhammad_iconpln_co_id/IQCWPkKV13hxT7Tsf0ie4WZyAYbVdVd5_J-Yxj5d4lTJA0g?e=07e5fO" TargetMode="External"/><Relationship Id="rId151" Type="http://schemas.openxmlformats.org/officeDocument/2006/relationships/hyperlink" Target="../../../../../../../:b:/g/personal/fadhilah_muhammad_iconpln_co_id/IQBrzuUQ6erUTYoV3MQ1YtQzATdvtv4acH4oOWmZANc7OsY?e=EZg09j" TargetMode="External"/><Relationship Id="rId156" Type="http://schemas.openxmlformats.org/officeDocument/2006/relationships/hyperlink" Target="../../../../../../../:b:/g/personal/fadhilah_muhammad_iconpln_co_id/IQCNA6TxWdmnRLh9hx8WiQBYAbWJghMwzKuSyVKQsQrS_IQ?e=aw80Dx" TargetMode="External"/><Relationship Id="rId177" Type="http://schemas.openxmlformats.org/officeDocument/2006/relationships/hyperlink" Target="https://iconpln-my.sharepoint.com/:b:/g/personal/fadhilah_muhammad_iconpln_co_id/IQAiHYjoUjb0RJ-ROuQPwEzOAWdx1qZ6DGCEjmmFKW1IzGY?e=KdamZ5" TargetMode="External"/><Relationship Id="rId172" Type="http://schemas.openxmlformats.org/officeDocument/2006/relationships/hyperlink" Target="../../../../../../../:b:/g/personal/fadhilah_muhammad_iconpln_co_id/IQBpVGmJtapfQoNMZKpTbc81AVVptwDDauGzf4r1fe428j0?e=HyN4ah" TargetMode="External"/><Relationship Id="rId13" Type="http://schemas.openxmlformats.org/officeDocument/2006/relationships/hyperlink" Target="../../../../../../../:b:/g/personal/fadhilah_muhammad_iconpln_co_id/IQAt9mnDV6Y5QKbQ4c1LZ14gAYf86rJ61jkF9WnnVKB2aLI?e=IeFA6x" TargetMode="External"/><Relationship Id="rId18" Type="http://schemas.openxmlformats.org/officeDocument/2006/relationships/hyperlink" Target="../../../../../../../:b:/g/personal/fadhilah_muhammad_iconpln_co_id/IQCOUB9lchnBRZM6G8aafhIGAS5OCtKmDm7-d5wTyJNJ3RU?e=JG85h6" TargetMode="External"/><Relationship Id="rId39" Type="http://schemas.openxmlformats.org/officeDocument/2006/relationships/hyperlink" Target="../../../../../../../:b:/g/personal/fadhilah_muhammad_iconpln_co_id/IQAkjQC_496wSZbP6Ue6CzsVAe1-Fn5bBXD6NbH7LwzAtr4?e=Ak0HYZ" TargetMode="External"/><Relationship Id="rId109" Type="http://schemas.openxmlformats.org/officeDocument/2006/relationships/hyperlink" Target="../../../../../../../:b:/g/personal/fadhilah_muhammad_iconpln_co_id/IQBI6fjE94JoQYeYOmXjrYICAWRWPOt5Jxon4bvMNQ0gqiA?e=qBmG5r" TargetMode="External"/><Relationship Id="rId34" Type="http://schemas.openxmlformats.org/officeDocument/2006/relationships/hyperlink" Target="../../../../../../../:b:/g/personal/fadhilah_muhammad_iconpln_co_id/IQDiGfxobVfCRL0Mx2H6-psPAV4YvB8w_iriB-SG6YGv36A?e=CUAVks" TargetMode="External"/><Relationship Id="rId50" Type="http://schemas.openxmlformats.org/officeDocument/2006/relationships/hyperlink" Target="../../../../../../../:b:/g/personal/fadhilah_muhammad_iconpln_co_id/IQAer0ig1uHjSq0_Gs_4FC63AQxTLtFP7IIHe7cWSvwKCVM?e=SO78t7" TargetMode="External"/><Relationship Id="rId55" Type="http://schemas.openxmlformats.org/officeDocument/2006/relationships/hyperlink" Target="../../../../../../../:b:/g/personal/fadhilah_muhammad_iconpln_co_id/IQDsBnc760EeQa_v6NuQ8qD8AfcIIKpYVpIOrHegR_F20HY?e=bbe15l" TargetMode="External"/><Relationship Id="rId76" Type="http://schemas.openxmlformats.org/officeDocument/2006/relationships/hyperlink" Target="../../../../../../../:b:/g/personal/fadhilah_muhammad_iconpln_co_id/IQBwe9InGJzQQ5MxVrZWLKAQAZppUeAsnujnmguoVWR34us?e=XhhGeP" TargetMode="External"/><Relationship Id="rId97" Type="http://schemas.openxmlformats.org/officeDocument/2006/relationships/hyperlink" Target="../../../../../../../:b:/g/personal/fadhilah_muhammad_iconpln_co_id/IQDHAWNRsuwhSImrxgm8wH9jAbOeEO4a_J97wZ6gUJ1_zfw?e=ZFoKAP" TargetMode="External"/><Relationship Id="rId104" Type="http://schemas.openxmlformats.org/officeDocument/2006/relationships/hyperlink" Target="../../../../../../../:b:/g/personal/fadhilah_muhammad_iconpln_co_id/IQD8GVninmDnSbpp6aQAAKh2AVJEXyoFT_hCylbtyEgXiEk?e=fPNVGL" TargetMode="External"/><Relationship Id="rId120" Type="http://schemas.openxmlformats.org/officeDocument/2006/relationships/hyperlink" Target="../../../../../../../:b:/g/personal/fadhilah_muhammad_iconpln_co_id/IQDf--WWTSPmT5vZ6Q-uJ-YOAXpZeRHgtOTKwVGvViZPsW8?e=ldzeJV" TargetMode="External"/><Relationship Id="rId125" Type="http://schemas.openxmlformats.org/officeDocument/2006/relationships/hyperlink" Target="../../../../../../../:b:/g/personal/fadhilah_muhammad_iconpln_co_id/IQBIrXdNaMtSTqAupE33FE63Ae8tg5farRTg6rrLCWuw7RQ?e=bdFm1d" TargetMode="External"/><Relationship Id="rId141" Type="http://schemas.openxmlformats.org/officeDocument/2006/relationships/hyperlink" Target="../../../../../../../:b:/g/personal/fadhilah_muhammad_iconpln_co_id/IQA9UcG2l4ohSYKgeepuQOeCAYx4e3az4XW9FS-s-Z3qdDY?e=UIt149" TargetMode="External"/><Relationship Id="rId146" Type="http://schemas.openxmlformats.org/officeDocument/2006/relationships/hyperlink" Target="../../../../../../../:b:/g/personal/fadhilah_muhammad_iconpln_co_id/IQA1l-BJh0GTQ5Iz7-8JoQB1ARyUW4s3ukukcr8chOqSUsg?e=XzffFD" TargetMode="External"/><Relationship Id="rId167" Type="http://schemas.openxmlformats.org/officeDocument/2006/relationships/hyperlink" Target="../../../../../../../:b:/g/personal/fadhilah_muhammad_iconpln_co_id/IQBuSudfdrLHRqEEU3SpRcoYAVpxG1HUt_uOsnYUdG5s0Bw?e=TgymoZ" TargetMode="External"/><Relationship Id="rId7" Type="http://schemas.openxmlformats.org/officeDocument/2006/relationships/hyperlink" Target="../../../../../../../:b:/g/personal/fadhilah_muhammad_iconpln_co_id/IQCI7j7MSlocSrNYdhx-S4XjAUeXbBZk4_0Rj01Nqcd6VXU?e=ohNq8G" TargetMode="External"/><Relationship Id="rId71" Type="http://schemas.openxmlformats.org/officeDocument/2006/relationships/hyperlink" Target="../../../../../../../:b:/g/personal/fadhilah_muhammad_iconpln_co_id/IQDz2Qs2u05ER5zvLgRTzvCtAVS8yHAIpiityOFmmbDmRE8?e=GtpXRX" TargetMode="External"/><Relationship Id="rId92" Type="http://schemas.openxmlformats.org/officeDocument/2006/relationships/hyperlink" Target="../../../../../../../:b:/g/personal/fadhilah_muhammad_iconpln_co_id/IQDuy8hIkEZkTphBgSuMyiw3AavYuD9StxUBLEY5iOF_eso?e=6GDPZc" TargetMode="External"/><Relationship Id="rId162" Type="http://schemas.openxmlformats.org/officeDocument/2006/relationships/hyperlink" Target="../../../../../../../:b:/g/personal/fadhilah_muhammad_iconpln_co_id/IQAMr9iumFL0Tr1wbi10aV3HAUx1Vj53T_-lvZVEvnMydJs?e=j1NEUG" TargetMode="External"/><Relationship Id="rId183" Type="http://schemas.openxmlformats.org/officeDocument/2006/relationships/hyperlink" Target="https://iconpln-my.sharepoint.com/:b:/g/personal/fadhilah_muhammad_iconpln_co_id/IQCCxZrFBAdSRbw7Txe6wLJzAWFwASAy8BfwaHBa06UybTg?e=BkVLu7" TargetMode="External"/><Relationship Id="rId2" Type="http://schemas.openxmlformats.org/officeDocument/2006/relationships/hyperlink" Target="../../../../../../../:b:/g/personal/fadhilah_muhammad_iconpln_co_id/IQCvBBZYp65FTqBMotM2SKBeASvDyYzW2Rjr8AwlEy79OTQ?e=tP7bUZ" TargetMode="External"/><Relationship Id="rId29" Type="http://schemas.openxmlformats.org/officeDocument/2006/relationships/hyperlink" Target="../../../../../../../:b:/g/personal/fadhilah_muhammad_iconpln_co_id/IQDo8RDCNEShRKE1xxYK_3jnATLzWaZGa1d1Y-s8wQ9sCeA?e=6VyxAG" TargetMode="External"/><Relationship Id="rId24" Type="http://schemas.openxmlformats.org/officeDocument/2006/relationships/hyperlink" Target="../../../../../../../:b:/g/personal/fadhilah_muhammad_iconpln_co_id/IQBCs7krMoTVT5eWJXUX_2kiAZp1cWiI0uGHMwJBF6JruHA?e=RoZhYW" TargetMode="External"/><Relationship Id="rId40" Type="http://schemas.openxmlformats.org/officeDocument/2006/relationships/hyperlink" Target="../../../../../../../:b:/g/personal/fadhilah_muhammad_iconpln_co_id/IQDy3COSdgUhQ4HW5vmwOESAAQKfTOIFPZs2s3uJPtCgZ_o?e=Kt1JeK" TargetMode="External"/><Relationship Id="rId45" Type="http://schemas.openxmlformats.org/officeDocument/2006/relationships/hyperlink" Target="../../../../../../../:b:/g/personal/fadhilah_muhammad_iconpln_co_id/IQD3Sz8-hFR0SJ_p8lunAjLoAbFKyVe96l6qQ34tLaTFOKE?e=kCd7lk" TargetMode="External"/><Relationship Id="rId66" Type="http://schemas.openxmlformats.org/officeDocument/2006/relationships/hyperlink" Target="../../../../../../../:b:/g/personal/fadhilah_muhammad_iconpln_co_id/IQBfWFx0w3wiQoeMpIEBWS2OAZdsAmMbWJfHjeAxdAY73bg?e=jFay0B" TargetMode="External"/><Relationship Id="rId87" Type="http://schemas.openxmlformats.org/officeDocument/2006/relationships/hyperlink" Target="../../../../../../../:b:/g/personal/fadhilah_muhammad_iconpln_co_id/IQARUxhShh92TbxewSb-4jdcAYZk8bV0sT-UYri5NOqW5cU?e=B26x3R" TargetMode="External"/><Relationship Id="rId110" Type="http://schemas.openxmlformats.org/officeDocument/2006/relationships/hyperlink" Target="../../../../../../../:b:/g/personal/fadhilah_muhammad_iconpln_co_id/IQDZrTvKThgNSoWY4AFN9Bu-AZmS0FMnLfGp9JVjBBO2x30?e=YbrDde" TargetMode="External"/><Relationship Id="rId115" Type="http://schemas.openxmlformats.org/officeDocument/2006/relationships/hyperlink" Target="../../../../../../../:b:/g/personal/fadhilah_muhammad_iconpln_co_id/IQDjyJmWqD7RRr9Jwg9B7RLRAbUHuoCM81Rxn1y0e8M98Ww?e=eGO7A3" TargetMode="External"/><Relationship Id="rId131" Type="http://schemas.openxmlformats.org/officeDocument/2006/relationships/hyperlink" Target="../../../../../../../:b:/g/personal/fadhilah_muhammad_iconpln_co_id/IQBYt7IL7dPxRql_w6uKyGynAWyLKP59GCclmZoRF2tibg4?e=y0jFla" TargetMode="External"/><Relationship Id="rId136" Type="http://schemas.openxmlformats.org/officeDocument/2006/relationships/hyperlink" Target="../../../../../../../:b:/g/personal/fadhilah_muhammad_iconpln_co_id/IQDBTYRGtVwFQKdnyA4ZTwLaAZ32e-FWx2UcCYiJT6_-LAw?e=XLPPex" TargetMode="External"/><Relationship Id="rId157" Type="http://schemas.openxmlformats.org/officeDocument/2006/relationships/hyperlink" Target="../../../../../../../:b:/g/personal/fadhilah_muhammad_iconpln_co_id/IQAYFtzOqk8LRY1aNFWT6l32AYRZ6Gk_PwCqdLVGhp7xe3M?e=eICcek" TargetMode="External"/><Relationship Id="rId178" Type="http://schemas.openxmlformats.org/officeDocument/2006/relationships/hyperlink" Target="https://iconpln-my.sharepoint.com/:b:/g/personal/fadhilah_muhammad_iconpln_co_id/IQBrohfPg1dfQoQHGpc1fZElAXsQHZy7TCdr0EHh6MJwnGg?e=E7y83u" TargetMode="External"/><Relationship Id="rId61" Type="http://schemas.openxmlformats.org/officeDocument/2006/relationships/hyperlink" Target="../../../../../../../:b:/g/personal/fadhilah_muhammad_iconpln_co_id/IQDiZGpVHPELSo0aaKQNAywDAXZlFWvzsgNk8BD7K1WpwAg?e=njnXnk" TargetMode="External"/><Relationship Id="rId82" Type="http://schemas.openxmlformats.org/officeDocument/2006/relationships/hyperlink" Target="../../../../../../../:b:/g/personal/fadhilah_muhammad_iconpln_co_id/IQAFjviJgQd3QKEWES4eUUbWAdRJk6sYW8AunXXSaMzXPdE?e=vfBpke" TargetMode="External"/><Relationship Id="rId152" Type="http://schemas.openxmlformats.org/officeDocument/2006/relationships/hyperlink" Target="../../../../../../../:b:/g/personal/fadhilah_muhammad_iconpln_co_id/IQCU7m6mu1SsR4flGqQ0Gc2oAdmAEGETKFUbTvWQ31qdw-I?e=DXJAX9" TargetMode="External"/><Relationship Id="rId173" Type="http://schemas.openxmlformats.org/officeDocument/2006/relationships/hyperlink" Target="../../../../../../../:b:/g/personal/fadhilah_muhammad_iconpln_co_id/IQDyW7o_7onBS6QRgYSALAneAZUPFAW2hfAjw8E_1Lq85uw?e=6Qr4wA" TargetMode="External"/><Relationship Id="rId19" Type="http://schemas.openxmlformats.org/officeDocument/2006/relationships/hyperlink" Target="../../../../../../../:b:/g/personal/fadhilah_muhammad_iconpln_co_id/IQBwEwdb__JJS7wOJs5qOciYAcDgaWoaKe1T9QC687vt6LE?e=H2pOIH" TargetMode="External"/><Relationship Id="rId14" Type="http://schemas.openxmlformats.org/officeDocument/2006/relationships/hyperlink" Target="../../../../../../../:b:/g/personal/fadhilah_muhammad_iconpln_co_id/IQCW-GNtnrqlRIvhpjFOpLO2AZuzAHJTB-hX54_MXh9x63A?e=GqY8SA" TargetMode="External"/><Relationship Id="rId30" Type="http://schemas.openxmlformats.org/officeDocument/2006/relationships/hyperlink" Target="../../../../../../../:b:/g/personal/fadhilah_muhammad_iconpln_co_id/IQBoxl8LRySSRKKmnsTIY3ldAS1N-ef93ltAYMkCDcHdD5I?e=dfFUUk" TargetMode="External"/><Relationship Id="rId35" Type="http://schemas.openxmlformats.org/officeDocument/2006/relationships/hyperlink" Target="../../../../../../../:b:/g/personal/fadhilah_muhammad_iconpln_co_id/IQDiGfxobVfCRL0Mx2H6-psPAV4YvB8w_iriB-SG6YGv36A?e=IOWAaX" TargetMode="External"/><Relationship Id="rId56" Type="http://schemas.openxmlformats.org/officeDocument/2006/relationships/hyperlink" Target="../../../../../../../:b:/g/personal/fadhilah_muhammad_iconpln_co_id/IQC9hSvwF5LnSbGucPrhqe2QAUfljDvWPfILv1C_2p0VtUE?e=KSDJEa" TargetMode="External"/><Relationship Id="rId77" Type="http://schemas.openxmlformats.org/officeDocument/2006/relationships/hyperlink" Target="../../../../../../../:b:/g/personal/fadhilah_muhammad_iconpln_co_id/IQAhrx9vhsUHQLycO61zS4xfAa4DYZd-1NHj24S9qPo0Q7Y?e=AIdhFq" TargetMode="External"/><Relationship Id="rId100" Type="http://schemas.openxmlformats.org/officeDocument/2006/relationships/hyperlink" Target="../../../../../../../:b:/g/personal/fadhilah_muhammad_iconpln_co_id/IQA4K8Q23srPSLwZnY8cwXhgAZMNv9sTz9KB2E6tGMkHtaA?e=F1TIiO" TargetMode="External"/><Relationship Id="rId105" Type="http://schemas.openxmlformats.org/officeDocument/2006/relationships/hyperlink" Target="../../../../../../../:b:/g/personal/fadhilah_muhammad_iconpln_co_id/IQBaljk0Vw34S5c4RWJywzJnAfkitA4fExZC22h3XWQMAmY?e=owHM2m" TargetMode="External"/><Relationship Id="rId126" Type="http://schemas.openxmlformats.org/officeDocument/2006/relationships/hyperlink" Target="../../../../../../../:b:/g/personal/fadhilah_muhammad_iconpln_co_id/IQAu1BwAR3n_Qa5unPFWErMbAYWZ7ggL-U-HsPoN_N5R25o?e=5WwZ9g" TargetMode="External"/><Relationship Id="rId147" Type="http://schemas.openxmlformats.org/officeDocument/2006/relationships/hyperlink" Target="../../../../../../../:b:/g/personal/fadhilah_muhammad_iconpln_co_id/IQAs-yk-RcSMRoJBfX0aXF6uASa9qI-2FN6shwgOoEOoS3c?e=6b0kfx" TargetMode="External"/><Relationship Id="rId168" Type="http://schemas.openxmlformats.org/officeDocument/2006/relationships/hyperlink" Target="../../../../../../../:b:/g/personal/fadhilah_muhammad_iconpln_co_id/IQCVO8Wwuav5QIRBl4Ozo1KaAXgTBTCLU2r5pTClXCqlBTg?e=To3RKP" TargetMode="External"/><Relationship Id="rId8" Type="http://schemas.openxmlformats.org/officeDocument/2006/relationships/hyperlink" Target="../../../../../../../:b:/g/personal/fadhilah_muhammad_iconpln_co_id/IQBFD_kB_hOPRbg7M8CWvJr7AR26fTcPdTQgFRmYI_k3HTg?e=XViekV" TargetMode="External"/><Relationship Id="rId51" Type="http://schemas.openxmlformats.org/officeDocument/2006/relationships/hyperlink" Target="../../../../../../../:b:/g/personal/fadhilah_muhammad_iconpln_co_id/IQAsgY8klqcpQbl0SUyeUGkEAdkinfpsdRmSbalLQq8Q8Hs?e=hkqWuV" TargetMode="External"/><Relationship Id="rId72" Type="http://schemas.openxmlformats.org/officeDocument/2006/relationships/hyperlink" Target="../../../../../../../:b:/g/personal/fadhilah_muhammad_iconpln_co_id/IQBXx8vy35UfSYBf8awwoIxZAVW8a_svrNQtJG5RHimTHZI?e=MzF9a8" TargetMode="External"/><Relationship Id="rId93" Type="http://schemas.openxmlformats.org/officeDocument/2006/relationships/hyperlink" Target="../../../../../../../:b:/g/personal/fadhilah_muhammad_iconpln_co_id/IQAkbxDP3WkVRLiEQxm1AprIAREyw9ZRUPu807-Vz8ICm_s?e=ULkRHG" TargetMode="External"/><Relationship Id="rId98" Type="http://schemas.openxmlformats.org/officeDocument/2006/relationships/hyperlink" Target="../../../../../../../:b:/g/personal/fadhilah_muhammad_iconpln_co_id/IQAXKEju0bYXRbE4dEgCnRjWAVfT_iruZSEn-RmPDoyEyBo?e=wmzReg" TargetMode="External"/><Relationship Id="rId121" Type="http://schemas.openxmlformats.org/officeDocument/2006/relationships/hyperlink" Target="../../../../../../../:b:/g/personal/fadhilah_muhammad_iconpln_co_id/IQC8BRQ4RXSZSoo66tj-ppM4AXYky3T5Ljf1pZ-k9DYpxn8?e=f04xEH" TargetMode="External"/><Relationship Id="rId142" Type="http://schemas.openxmlformats.org/officeDocument/2006/relationships/hyperlink" Target="../../../../../../../:b:/g/personal/fadhilah_muhammad_iconpln_co_id/IQD8KB_FgsUlTYE8xq_ieQYvAUGkvod41G1C9pH9GBCV76g?e=YVxhUc" TargetMode="External"/><Relationship Id="rId163" Type="http://schemas.openxmlformats.org/officeDocument/2006/relationships/hyperlink" Target="../../../../../../../:b:/g/personal/fadhilah_muhammad_iconpln_co_id/IQDd9TOAsFTKSa24FDtBPgVvAYQxLWkN-_0pe9BNxd64rwY?e=flhd9k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../../../../../../../:b:/g/personal/fadhilah_muhammad_iconpln_co_id/IQCvBBZYp65FTqBMotM2SKBeASvDyYzW2Rjr8AwlEy79OTQ?e=YMJ8jG" TargetMode="External"/><Relationship Id="rId25" Type="http://schemas.openxmlformats.org/officeDocument/2006/relationships/hyperlink" Target="../../../../../../../:b:/g/personal/fadhilah_muhammad_iconpln_co_id/IQDOfctF18P-SJGjFvT1EchHAam4rR7EGsIdYbaxE-QCXsY?e=UfLkA8" TargetMode="External"/><Relationship Id="rId46" Type="http://schemas.openxmlformats.org/officeDocument/2006/relationships/hyperlink" Target="../../../../../../../:b:/g/personal/fadhilah_muhammad_iconpln_co_id/IQCjQrXXwEgIQokTTZXLbUx-AU3q90OB1l92Fcapt6Hdr-w?e=NrZfQx" TargetMode="External"/><Relationship Id="rId67" Type="http://schemas.openxmlformats.org/officeDocument/2006/relationships/hyperlink" Target="../../../../../../../:b:/g/personal/fadhilah_muhammad_iconpln_co_id/IQCZOoakb9X9ToHhw8iLVyk5AUBWu5NRTP1ZnLzUKP93NJM?e=em6C6g" TargetMode="External"/><Relationship Id="rId116" Type="http://schemas.openxmlformats.org/officeDocument/2006/relationships/hyperlink" Target="../../../../../../../:b:/g/personal/fadhilah_muhammad_iconpln_co_id/IQDYjUcoLoCiSZS9l94DH-17AQsyURRwU0DRZEVPF3AxCgU?e=vMteH7" TargetMode="External"/><Relationship Id="rId137" Type="http://schemas.openxmlformats.org/officeDocument/2006/relationships/hyperlink" Target="../../../../../../../:b:/g/personal/fadhilah_muhammad_iconpln_co_id/IQB9ePMvxyVPSqmtfv2_8JdHAWn7xYsJZJ86rVQFgQoblZE?e=wxkEM9" TargetMode="External"/><Relationship Id="rId158" Type="http://schemas.openxmlformats.org/officeDocument/2006/relationships/hyperlink" Target="../../../../../../../:b:/g/personal/fadhilah_muhammad_iconpln_co_id/IQCHEo7JHIvpQLR3Dpao3tP4AaTV_jzStksDFX3OTgXX4J0?e=P7adlW" TargetMode="External"/><Relationship Id="rId20" Type="http://schemas.openxmlformats.org/officeDocument/2006/relationships/hyperlink" Target="../../../../../../../:b:/g/personal/fadhilah_muhammad_iconpln_co_id/IQDIFNmRnM0MSZuAU-z5CGjPAZPmeGAvLLfm9xBd-5U0GOY?e=rFDawA" TargetMode="External"/><Relationship Id="rId41" Type="http://schemas.openxmlformats.org/officeDocument/2006/relationships/hyperlink" Target="../../../../../../../:b:/g/personal/fadhilah_muhammad_iconpln_co_id/IQAcJUfsNDI1QJakF_QtFfz8AdgiNiMYrEuTMiDQEd_X9Zs?e=oPDVyW" TargetMode="External"/><Relationship Id="rId62" Type="http://schemas.openxmlformats.org/officeDocument/2006/relationships/hyperlink" Target="../../../../../../../:b:/g/personal/fadhilah_muhammad_iconpln_co_id/IQAHgUnafV_TT526FmsZRKi_AfGzBQZrGw3qwBS-FbPgrTY?e=HcU1l5" TargetMode="External"/><Relationship Id="rId83" Type="http://schemas.openxmlformats.org/officeDocument/2006/relationships/hyperlink" Target="../../../../../../../:b:/g/personal/fadhilah_muhammad_iconpln_co_id/IQD6ptQzztKNRKmCzwt-dcdSAXoJEWTVlsVVuPLJS82iJeM?e=lCDWUQ" TargetMode="External"/><Relationship Id="rId88" Type="http://schemas.openxmlformats.org/officeDocument/2006/relationships/hyperlink" Target="../../../../../../../:b:/g/personal/fadhilah_muhammad_iconpln_co_id/IQDiZOsfSs5JTIiksjRuaUF4ATUzKu8vLjvZI-wpOKte2AE?e=voUg6U" TargetMode="External"/><Relationship Id="rId111" Type="http://schemas.openxmlformats.org/officeDocument/2006/relationships/hyperlink" Target="../../../../../../../:b:/g/personal/fadhilah_muhammad_iconpln_co_id/IQDeVcbnp_ysQYvLdIvEDQfFAYs4anZMsZP-2NRRMS5Q-MM?e=XdzYpb" TargetMode="External"/><Relationship Id="rId132" Type="http://schemas.openxmlformats.org/officeDocument/2006/relationships/hyperlink" Target="../../../../../../../:b:/g/personal/fadhilah_muhammad_iconpln_co_id/IQBZHhpJnCyIRYcxLmasMS2oAS7CkA9QablGfX4E7ugD5Hk?e=MaGQKr" TargetMode="External"/><Relationship Id="rId153" Type="http://schemas.openxmlformats.org/officeDocument/2006/relationships/hyperlink" Target="../../../../../../../:b:/g/personal/fadhilah_muhammad_iconpln_co_id/IQDF_eZl0Nr1Sa8p9OnMaBtGASukS7zec4F8XeYqtqH1Cqo?e=mnq714" TargetMode="External"/><Relationship Id="rId174" Type="http://schemas.openxmlformats.org/officeDocument/2006/relationships/hyperlink" Target="https://iconpln-my.sharepoint.com/:b:/g/personal/fadhilah_muhammad_iconpln_co_id/IQBWS6mxqyfnTJh668XjYsnnAfj7_uvQAIa9thiIwr8tyJU?e=eMLzN3" TargetMode="External"/><Relationship Id="rId179" Type="http://schemas.openxmlformats.org/officeDocument/2006/relationships/hyperlink" Target="https://iconpln-my.sharepoint.com/:b:/g/personal/fadhilah_muhammad_iconpln_co_id/IQAH3kWzeArAQoTpjyeir8zVAST3a3-UAfoD7JArs49MZ50?e=Fpolhr" TargetMode="External"/><Relationship Id="rId15" Type="http://schemas.openxmlformats.org/officeDocument/2006/relationships/hyperlink" Target="../../../../../../../:b:/g/personal/fadhilah_muhammad_iconpln_co_id/IQAYfTIgo-OHQ6XRSGnKKtNRATW4_g4kLHTNRcLb6RVg4H8?e=wFKVTs" TargetMode="External"/><Relationship Id="rId36" Type="http://schemas.openxmlformats.org/officeDocument/2006/relationships/hyperlink" Target="../../../../../../../:b:/g/personal/fadhilah_muhammad_iconpln_co_id/IQDT6pDb9zV-S7mNfaDvtgziAWQwNJ9Vk-WPaB7nj2au_YM?e=6o6LbM" TargetMode="External"/><Relationship Id="rId57" Type="http://schemas.openxmlformats.org/officeDocument/2006/relationships/hyperlink" Target="../../../../../../../:b:/g/personal/fadhilah_muhammad_iconpln_co_id/IQAc_tjvF1kpRae0QUZMAD0zAe5P5md3p5E4qKMQEzoybjo?e=xXgjIL" TargetMode="External"/><Relationship Id="rId106" Type="http://schemas.openxmlformats.org/officeDocument/2006/relationships/hyperlink" Target="../../../../../../../:b:/g/personal/fadhilah_muhammad_iconpln_co_id/IQD_CXGF2FziSLlm9XO4o2ItATdcxhXuNaOP_B6AqTFQm5M?e=GUIE1v" TargetMode="External"/><Relationship Id="rId127" Type="http://schemas.openxmlformats.org/officeDocument/2006/relationships/hyperlink" Target="../../../../../../../:b:/g/personal/fadhilah_muhammad_iconpln_co_id/IQBncnawz8vyQJFakfeNLRwSAcUOU5fxgLkcD8Y2VePEc1c?e=7Qk5JO" TargetMode="External"/><Relationship Id="rId10" Type="http://schemas.openxmlformats.org/officeDocument/2006/relationships/hyperlink" Target="../../../../../../../:b:/g/personal/fadhilah_muhammad_iconpln_co_id/IQCvpauXVrpbQrglY-dOL2N2AfnMeT6kO5WoQhDdeFBwSc0?e=TmVr0U" TargetMode="External"/><Relationship Id="rId31" Type="http://schemas.openxmlformats.org/officeDocument/2006/relationships/hyperlink" Target="../../../../../../../:b:/g/personal/fadhilah_muhammad_iconpln_co_id/IQCrQPLB2eZ-SbCov7rbY0FqARMOa_XBnK62fZSk7CV7IQI?e=UEUSyV" TargetMode="External"/><Relationship Id="rId52" Type="http://schemas.openxmlformats.org/officeDocument/2006/relationships/hyperlink" Target="../../../../../../../:b:/g/personal/fadhilah_muhammad_iconpln_co_id/IQCapPXnSuVbS7LDwkpjmmr0Ab2uUrpbFBasPtMS4a4eglk?e=AXRQUx" TargetMode="External"/><Relationship Id="rId73" Type="http://schemas.openxmlformats.org/officeDocument/2006/relationships/hyperlink" Target="../../../../../../../:b:/g/personal/fadhilah_muhammad_iconpln_co_id/IQDylidgf8UjRaNUSKcFMw1gAS5GbQsoJe1Wekpl3YWVlUg?e=SSdqNl" TargetMode="External"/><Relationship Id="rId78" Type="http://schemas.openxmlformats.org/officeDocument/2006/relationships/hyperlink" Target="../../../../../../../:b:/g/personal/fadhilah_muhammad_iconpln_co_id/IQDgu1PzyqncQqZoFDuTZMErAcsHi3G88g7KOGDzvuxJ5I4?e=U5w9D1" TargetMode="External"/><Relationship Id="rId94" Type="http://schemas.openxmlformats.org/officeDocument/2006/relationships/hyperlink" Target="../../../../../../../:b:/g/personal/fadhilah_muhammad_iconpln_co_id/IQBCqeHYLBO5TJTYZpC_g0JfAa46GiNtcytYrc92wBpzUWY?e=0xBwmu" TargetMode="External"/><Relationship Id="rId99" Type="http://schemas.openxmlformats.org/officeDocument/2006/relationships/hyperlink" Target="../../../../../../../:b:/g/personal/fadhilah_muhammad_iconpln_co_id/IQBUtENAhHxzTaChOoHXdxkoAf51Eb9g6Kt-cU8NI9OtOyA?e=x0UeMr" TargetMode="External"/><Relationship Id="rId101" Type="http://schemas.openxmlformats.org/officeDocument/2006/relationships/hyperlink" Target="../../../../../../../:b:/g/personal/fadhilah_muhammad_iconpln_co_id/IQCSrseDszyQRZTnNogC5IZ7Aeug2GtexGaLugnIBJvchRg?e=GrIvsY" TargetMode="External"/><Relationship Id="rId122" Type="http://schemas.openxmlformats.org/officeDocument/2006/relationships/hyperlink" Target="../../../../../../../:b:/g/personal/fadhilah_muhammad_iconpln_co_id/IQCkNIkSW5dBSpxI8mErJNTdAaK7cfeizwKLkolQUtFeMmw?e=M4m7Mu" TargetMode="External"/><Relationship Id="rId143" Type="http://schemas.openxmlformats.org/officeDocument/2006/relationships/hyperlink" Target="../../../../../../../:b:/g/personal/fadhilah_muhammad_iconpln_co_id/IQA6jc7Una8hTYbO6-KNlW2xAYFes13DO0iUP0lu-kB4Vmg?e=672wOc" TargetMode="External"/><Relationship Id="rId148" Type="http://schemas.openxmlformats.org/officeDocument/2006/relationships/hyperlink" Target="../../../../../../../:b:/g/personal/fadhilah_muhammad_iconpln_co_id/IQDXDU535r-5TZKEVJdr1wZ2AZNBZwaekNQbC7xwr6606pA?e=ycYoCZ" TargetMode="External"/><Relationship Id="rId164" Type="http://schemas.openxmlformats.org/officeDocument/2006/relationships/hyperlink" Target="../../../../../../../:b:/g/personal/fadhilah_muhammad_iconpln_co_id/IQDE19wCT5AFRrQcxog-OUjMAflp3S8pX3RoNKJcBZp4q6c?e=1rvmOl" TargetMode="External"/><Relationship Id="rId169" Type="http://schemas.openxmlformats.org/officeDocument/2006/relationships/hyperlink" Target="../../../../../../../:b:/g/personal/fadhilah_muhammad_iconpln_co_id/IQCHjXi1uDHkT6_FSQrkI0qRAV71uHcRXnR0eUcQQGo0pMY?e=3fmhGh" TargetMode="External"/><Relationship Id="rId4" Type="http://schemas.openxmlformats.org/officeDocument/2006/relationships/hyperlink" Target="../../../../../../../:b:/g/personal/fadhilah_muhammad_iconpln_co_id/IQAtck8n1co1T6VvZMqPk47aAcN1Oi4-4a-nFOFpZ3vyEaE?e=Msqv8n" TargetMode="External"/><Relationship Id="rId9" Type="http://schemas.openxmlformats.org/officeDocument/2006/relationships/hyperlink" Target="../../../../../../../:b:/g/personal/fadhilah_muhammad_iconpln_co_id/IQAsyVTxdzVJQp4RJ8Y17m1xAciNJ4oKGbd2aZfuvVbwet0?e=p3wc6q" TargetMode="External"/><Relationship Id="rId180" Type="http://schemas.openxmlformats.org/officeDocument/2006/relationships/hyperlink" Target="https://iconpln-my.sharepoint.com/:b:/g/personal/fadhilah_muhammad_iconpln_co_id/IQAJfLf1yzL8TI7SgHq6KuB-AUwrYElyVW4-89c2cXR9hFI?e=WXDU5t" TargetMode="External"/><Relationship Id="rId26" Type="http://schemas.openxmlformats.org/officeDocument/2006/relationships/hyperlink" Target="../../../../../../../:b:/g/personal/fadhilah_muhammad_iconpln_co_id/IQBOnxqnmxBJR4wf6FzJO4C4AeROZzNzwzBzmrkQ3MRAgw4?e=n4CXAs" TargetMode="External"/><Relationship Id="rId47" Type="http://schemas.openxmlformats.org/officeDocument/2006/relationships/hyperlink" Target="../../../../../../../:b:/g/personal/fadhilah_muhammad_iconpln_co_id/IQAzV5w5PM02Rq0IXAlaBDw5ARZ3_eK6qeJiTPr9tssn2iA?e=ehaSYK" TargetMode="External"/><Relationship Id="rId68" Type="http://schemas.openxmlformats.org/officeDocument/2006/relationships/hyperlink" Target="../../../../../../../:b:/g/personal/fadhilah_muhammad_iconpln_co_id/IQDoS3qXKcSpTqE58hbrylzDAbublI_5cBQJvl-EkbS0MdU?e=xu2hpC" TargetMode="External"/><Relationship Id="rId89" Type="http://schemas.openxmlformats.org/officeDocument/2006/relationships/hyperlink" Target="../../../../../../../:b:/g/personal/fadhilah_muhammad_iconpln_co_id/IQCRyiz8lnLnQqeAxJaOFSDOAQjkAB5ZMZPZxx1cwp1NnPo?e=XFEaZo" TargetMode="External"/><Relationship Id="rId112" Type="http://schemas.openxmlformats.org/officeDocument/2006/relationships/hyperlink" Target="../../../../../../../:b:/g/personal/fadhilah_muhammad_iconpln_co_id/IQCrtsOC1Ng-TqxXFnq4VzP7AXR85Yx8OtIeCV_a5FdVa4A?e=e9AOFq" TargetMode="External"/><Relationship Id="rId133" Type="http://schemas.openxmlformats.org/officeDocument/2006/relationships/hyperlink" Target="../../../../../../../:b:/g/personal/fadhilah_muhammad_iconpln_co_id/IQCCn8HAzobyR6cPT0lnk9uAASOky6WwQC0uUzigjxS4vi8?e=WCsyml" TargetMode="External"/><Relationship Id="rId154" Type="http://schemas.openxmlformats.org/officeDocument/2006/relationships/hyperlink" Target="../../../../../../../:b:/g/personal/fadhilah_muhammad_iconpln_co_id/IQBTh4dLULFmTJTdhUjyjrcZASJX4sutJAsx-1l9Djtp_yg?e=mNa4c1" TargetMode="External"/><Relationship Id="rId175" Type="http://schemas.openxmlformats.org/officeDocument/2006/relationships/hyperlink" Target="https://iconpln-my.sharepoint.com/:b:/g/personal/fadhilah_muhammad_iconpln_co_id/IQBox75iqioXTrvaOIzSSaJBAS4Gymq0hG8k7xEKgwViT7I?e=zPVIpQ" TargetMode="External"/><Relationship Id="rId16" Type="http://schemas.openxmlformats.org/officeDocument/2006/relationships/hyperlink" Target="../../../../../../../:b:/g/personal/fadhilah_muhammad_iconpln_co_id/IQC8w7j9hvIVR5aWd2vXB52jAUGkORUsUQXqjrl55HAbkcM?e=Chcx2n" TargetMode="External"/><Relationship Id="rId37" Type="http://schemas.openxmlformats.org/officeDocument/2006/relationships/hyperlink" Target="../../../../../../../:b:/g/personal/fadhilah_muhammad_iconpln_co_id/IQDRDXQE49KBSryC3oI0Ie_UAW5F_RX34Uaa8Hl2-aEsseo?e=USiIRY" TargetMode="External"/><Relationship Id="rId58" Type="http://schemas.openxmlformats.org/officeDocument/2006/relationships/hyperlink" Target="../../../../../../../:b:/g/personal/fadhilah_muhammad_iconpln_co_id/IQAOUS0VdJTbQJnnJXPJbBdzAfFysIfeSzvHwleRhJih14M?e=Jh0C7W" TargetMode="External"/><Relationship Id="rId79" Type="http://schemas.openxmlformats.org/officeDocument/2006/relationships/hyperlink" Target="../../../../../../../:b:/g/personal/fadhilah_muhammad_iconpln_co_id/IQBa3Kpi4XjTTa3m01WYmGm0AS7ARytfgM8_DfbfNHosqsg?e=2fWSIM" TargetMode="External"/><Relationship Id="rId102" Type="http://schemas.openxmlformats.org/officeDocument/2006/relationships/hyperlink" Target="../../../../../../../:b:/g/personal/fadhilah_muhammad_iconpln_co_id/IQCvUws9L9LSSYnzQ1BeMRGYAc7Kz3jJdn7p8igjrmsVW-M?e=w8XEiz" TargetMode="External"/><Relationship Id="rId123" Type="http://schemas.openxmlformats.org/officeDocument/2006/relationships/hyperlink" Target="../../../../../../../:b:/g/personal/fadhilah_muhammad_iconpln_co_id/IQA0UpEJdfJ0TLIidzVdhc8wAfnjyV2_vX-1wNbJQVnTLDI?e=4Sgabr" TargetMode="External"/><Relationship Id="rId144" Type="http://schemas.openxmlformats.org/officeDocument/2006/relationships/hyperlink" Target="../../../../../../../:b:/g/personal/fadhilah_muhammad_iconpln_co_id/IQBJWHs987oUT45mdC0rcTDdAQnE-sYikSaWMZjz33oTHZY?e=Mk5Wgb" TargetMode="External"/><Relationship Id="rId90" Type="http://schemas.openxmlformats.org/officeDocument/2006/relationships/hyperlink" Target="../../../../../../../:b:/g/personal/fadhilah_muhammad_iconpln_co_id/IQDwbxNoye_KQaA_6vX002xuAV2stDL8vJ6IDYDI7qpfYrM?e=KpcFmd" TargetMode="External"/><Relationship Id="rId165" Type="http://schemas.openxmlformats.org/officeDocument/2006/relationships/hyperlink" Target="../../../../../../../:b:/g/personal/fadhilah_muhammad_iconpln_co_id/IQDdMA4CAIoXSpBkhsXLG5n_AWbMB5VRUiIP1gqtxcBuLYU?e=cwmfCI" TargetMode="External"/><Relationship Id="rId27" Type="http://schemas.openxmlformats.org/officeDocument/2006/relationships/hyperlink" Target="../../../../../../../:b:/g/personal/fadhilah_muhammad_iconpln_co_id/IQAsCZ0inFxUSIcCKfNRyuzAAUmCcqxmd6ksm7l2EcwcqDw?e=FUSWk7" TargetMode="External"/><Relationship Id="rId48" Type="http://schemas.openxmlformats.org/officeDocument/2006/relationships/hyperlink" Target="../../../../../../../:b:/g/personal/fadhilah_muhammad_iconpln_co_id/IQDEMSpze3YFQZaWrrg1MRxYAVeOzRuuIepJNQsgrRhuMj4?e=hDnfuq" TargetMode="External"/><Relationship Id="rId69" Type="http://schemas.openxmlformats.org/officeDocument/2006/relationships/hyperlink" Target="../../../../../../../:b:/g/personal/fadhilah_muhammad_iconpln_co_id/IQDbtwPZChUJRIjMeEC_EG-MAZhNDXX0PJC9jhMU-P2QgLw?e=oBNGUp" TargetMode="External"/><Relationship Id="rId113" Type="http://schemas.openxmlformats.org/officeDocument/2006/relationships/hyperlink" Target="../../../../../../../:b:/g/personal/fadhilah_muhammad_iconpln_co_id/IQAQJY8YQ0gsSbKq6sfb8CA3AZroumueaFFC20KPzeBxMeY?e=C6RNmQ" TargetMode="External"/><Relationship Id="rId134" Type="http://schemas.openxmlformats.org/officeDocument/2006/relationships/hyperlink" Target="../../../../../../../:b:/g/personal/fadhilah_muhammad_iconpln_co_id/IQDRQjEb-ZUrS6VohaHeGl-KATlxLDUQhOeSmFBTreUYSK0?e=F4GmeS" TargetMode="External"/><Relationship Id="rId80" Type="http://schemas.openxmlformats.org/officeDocument/2006/relationships/hyperlink" Target="../../../../../../../:b:/g/personal/fadhilah_muhammad_iconpln_co_id/IQAhcGVGQH2rS6MHNWz4iLWyAZFnUU6LTBEYSTRUctdyUtY?e=RY5uda" TargetMode="External"/><Relationship Id="rId155" Type="http://schemas.openxmlformats.org/officeDocument/2006/relationships/hyperlink" Target="../../../../../../../:b:/g/personal/fadhilah_muhammad_iconpln_co_id/IQDkF1Z-U2sRT7-clUuI3fmUAVE-Y8u8wRdZvhh7zOGQQQc?e=0QjsuU" TargetMode="External"/><Relationship Id="rId176" Type="http://schemas.openxmlformats.org/officeDocument/2006/relationships/hyperlink" Target="https://iconpln-my.sharepoint.com/:b:/g/personal/fadhilah_muhammad_iconpln_co_id/IQDTukIA68b4T43y2VEpuBaIAVuYGwcyLAaH4_ak6pivcuI?e=o3Bgm6" TargetMode="External"/><Relationship Id="rId17" Type="http://schemas.openxmlformats.org/officeDocument/2006/relationships/hyperlink" Target="../../../../../../../:b:/g/personal/fadhilah_muhammad_iconpln_co_id/IQDVCxWIu8EbRKsdmEgkx47yAcOUXNgzBZvjPeeYntUQv0o?e=kjkg5X" TargetMode="External"/><Relationship Id="rId38" Type="http://schemas.openxmlformats.org/officeDocument/2006/relationships/hyperlink" Target="../../../../../../../:b:/g/personal/fadhilah_muhammad_iconpln_co_id/IQAR41A3jn-rQKAo3bFEty08AR_cUR98nMnnOwwnFyi3xvs?e=xxdNpT" TargetMode="External"/><Relationship Id="rId59" Type="http://schemas.openxmlformats.org/officeDocument/2006/relationships/hyperlink" Target="../../../../../../../:b:/g/personal/fadhilah_muhammad_iconpln_co_id/IQApcE8i790nSJHFyIPQERKnATnvj85py1OioYUFD2kd5So?e=9eKAAQ" TargetMode="External"/><Relationship Id="rId103" Type="http://schemas.openxmlformats.org/officeDocument/2006/relationships/hyperlink" Target="../../../../../../../:b:/g/personal/fadhilah_muhammad_iconpln_co_id/IQATayhOPJGrSK-lRJaahORyAcyrgDWLKVZWLtl4O29KZLU?e=M2rE1j" TargetMode="External"/><Relationship Id="rId124" Type="http://schemas.openxmlformats.org/officeDocument/2006/relationships/hyperlink" Target="../../../../../../../:b:/g/personal/fadhilah_muhammad_iconpln_co_id/IQDmgYltRSD4Sr3kdPMQ1iX4AcmfOplUzVfrzwl4kgNZnJc?e=TMBEw7" TargetMode="External"/><Relationship Id="rId70" Type="http://schemas.openxmlformats.org/officeDocument/2006/relationships/hyperlink" Target="../../../../../../../:b:/g/personal/fadhilah_muhammad_iconpln_co_id/IQCM71ho_2O6RrZAYFF8uoMeAY4gRxJpNR5mYH2vSYMIceM?e=vFpHfe" TargetMode="External"/><Relationship Id="rId91" Type="http://schemas.openxmlformats.org/officeDocument/2006/relationships/hyperlink" Target="../../../../../../../:b:/g/personal/fadhilah_muhammad_iconpln_co_id/IQBnhtaPRDW5R6Hj1sGikcKPAa2DHTGD5HPD--1es7zb5cw?e=0Lg9Rx" TargetMode="External"/><Relationship Id="rId145" Type="http://schemas.openxmlformats.org/officeDocument/2006/relationships/hyperlink" Target="../../../../../../../:b:/g/personal/fadhilah_muhammad_iconpln_co_id/IQBAcHs-3THPSZOeTqVyVyLqAXxC9mi1P260Zdo4EnMTMLA?e=VJd75C" TargetMode="External"/><Relationship Id="rId166" Type="http://schemas.openxmlformats.org/officeDocument/2006/relationships/hyperlink" Target="../../../../../../../:b:/g/personal/fadhilah_muhammad_iconpln_co_id/IQCuXLgQyx7uQKuTlzXYpGBQATetYXJxUMWTehxPEfNYmA0?e=hKQBNZ" TargetMode="External"/><Relationship Id="rId1" Type="http://schemas.openxmlformats.org/officeDocument/2006/relationships/hyperlink" Target="../../../../../../../:b:/g/personal/fadhilah_muhammad_iconpln_co_id/IQAZYbB1WnAGQKWNt8CVcZhZAeF9jDcQSVzLXpLUhSxLJhw?e=ZgM1I9" TargetMode="External"/><Relationship Id="rId28" Type="http://schemas.openxmlformats.org/officeDocument/2006/relationships/hyperlink" Target="../../../../../../../:b:/g/personal/fadhilah_muhammad_iconpln_co_id/IQDvny63UfkWSa_QhVrf2GUBAf4_GdoMDdUZkEkFj0LE4DI?e=u7zqIl" TargetMode="External"/><Relationship Id="rId49" Type="http://schemas.openxmlformats.org/officeDocument/2006/relationships/hyperlink" Target="../../../../../../../:b:/g/personal/fadhilah_muhammad_iconpln_co_id/IQB_3fDtQ9Q0R79FDF4R7z_DAYnI_AhEzYCoqgHu4QTUdQA?e=jHnghi" TargetMode="External"/><Relationship Id="rId114" Type="http://schemas.openxmlformats.org/officeDocument/2006/relationships/hyperlink" Target="../../../../../../../:b:/g/personal/fadhilah_muhammad_iconpln_co_id/IQAyPO8OMLaJQ76euD_GIQCeAYTaYySY6H1uYaeZCyRwgVE?e=nIbb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50"/>
  <sheetViews>
    <sheetView tabSelected="1" zoomScale="70" zoomScaleNormal="70" workbookViewId="0">
      <pane xSplit="2" topLeftCell="Y34" activePane="topRight" state="frozen"/>
      <selection pane="topRight" activeCell="BE14" sqref="BE14"/>
    </sheetView>
  </sheetViews>
  <sheetFormatPr defaultColWidth="14.5" defaultRowHeight="15" customHeight="1"/>
  <cols>
    <col min="1" max="1" width="8.125" customWidth="1"/>
    <col min="2" max="3" width="20.625" customWidth="1"/>
    <col min="4" max="4" width="20.625" style="9" customWidth="1"/>
    <col min="5" max="5" width="31" customWidth="1"/>
    <col min="6" max="6" width="30.625" style="9" customWidth="1"/>
    <col min="7" max="8" width="20.5" customWidth="1"/>
    <col min="9" max="9" width="32.625" customWidth="1"/>
    <col min="10" max="11" width="18.625" customWidth="1"/>
    <col min="12" max="13" width="32.625" customWidth="1"/>
    <col min="14" max="16" width="18.625" customWidth="1"/>
    <col min="17" max="17" width="32.625" style="48" customWidth="1"/>
    <col min="18" max="20" width="18.625" customWidth="1"/>
    <col min="21" max="21" width="32.625" customWidth="1"/>
    <col min="22" max="24" width="18.5" customWidth="1"/>
    <col min="25" max="25" width="32.875" customWidth="1"/>
    <col min="26" max="28" width="18.625" customWidth="1"/>
    <col min="29" max="29" width="32.875" customWidth="1"/>
    <col min="30" max="32" width="18.625" customWidth="1"/>
    <col min="33" max="33" width="32.625" customWidth="1"/>
    <col min="34" max="36" width="18.625" customWidth="1"/>
    <col min="37" max="37" width="32.875" customWidth="1"/>
    <col min="38" max="40" width="18.625" customWidth="1"/>
    <col min="41" max="41" width="32.875" customWidth="1"/>
    <col min="42" max="44" width="18.625" customWidth="1"/>
    <col min="45" max="47" width="20.5" customWidth="1"/>
    <col min="48" max="48" width="30.625" style="9" customWidth="1"/>
    <col min="49" max="49" width="20.625" hidden="1" customWidth="1"/>
    <col min="55" max="55" width="14.5" style="9"/>
  </cols>
  <sheetData>
    <row r="1" spans="1:56" ht="15.75" customHeight="1" thickBot="1">
      <c r="A1" s="29" t="s">
        <v>0</v>
      </c>
      <c r="B1" s="30" t="s">
        <v>1</v>
      </c>
      <c r="C1" s="30" t="s">
        <v>2</v>
      </c>
      <c r="D1" s="31" t="s">
        <v>3</v>
      </c>
      <c r="E1" s="30" t="s">
        <v>4</v>
      </c>
      <c r="F1" s="31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8</v>
      </c>
      <c r="N1" s="30" t="s">
        <v>12</v>
      </c>
      <c r="O1" s="30" t="s">
        <v>13</v>
      </c>
      <c r="P1" s="30" t="s">
        <v>14</v>
      </c>
      <c r="Q1" s="30" t="s">
        <v>8</v>
      </c>
      <c r="R1" s="30" t="s">
        <v>15</v>
      </c>
      <c r="S1" s="30" t="s">
        <v>16</v>
      </c>
      <c r="T1" s="30" t="s">
        <v>14</v>
      </c>
      <c r="U1" s="30" t="s">
        <v>17</v>
      </c>
      <c r="V1" s="30" t="s">
        <v>18</v>
      </c>
      <c r="W1" s="30" t="s">
        <v>19</v>
      </c>
      <c r="X1" s="30" t="s">
        <v>20</v>
      </c>
      <c r="Y1" s="30" t="s">
        <v>21</v>
      </c>
      <c r="Z1" s="30" t="s">
        <v>22</v>
      </c>
      <c r="AA1" s="30" t="s">
        <v>23</v>
      </c>
      <c r="AB1" s="30" t="s">
        <v>20</v>
      </c>
      <c r="AC1" s="30" t="s">
        <v>17</v>
      </c>
      <c r="AD1" s="30" t="s">
        <v>24</v>
      </c>
      <c r="AE1" s="30" t="s">
        <v>25</v>
      </c>
      <c r="AF1" s="30" t="s">
        <v>14</v>
      </c>
      <c r="AG1" s="30" t="s">
        <v>26</v>
      </c>
      <c r="AH1" s="30" t="s">
        <v>27</v>
      </c>
      <c r="AI1" s="30" t="s">
        <v>28</v>
      </c>
      <c r="AJ1" s="30" t="s">
        <v>14</v>
      </c>
      <c r="AK1" s="30" t="s">
        <v>17</v>
      </c>
      <c r="AL1" s="30" t="s">
        <v>29</v>
      </c>
      <c r="AM1" s="30" t="s">
        <v>30</v>
      </c>
      <c r="AN1" s="30" t="s">
        <v>14</v>
      </c>
      <c r="AO1" s="30" t="s">
        <v>17</v>
      </c>
      <c r="AP1" s="30" t="s">
        <v>31</v>
      </c>
      <c r="AQ1" s="30" t="s">
        <v>32</v>
      </c>
      <c r="AR1" s="30" t="s">
        <v>14</v>
      </c>
      <c r="AS1" s="30" t="s">
        <v>17</v>
      </c>
      <c r="AT1" s="30" t="s">
        <v>33</v>
      </c>
      <c r="AU1" s="30" t="s">
        <v>34</v>
      </c>
      <c r="AV1" s="31" t="s">
        <v>35</v>
      </c>
      <c r="AW1" s="32" t="s">
        <v>36</v>
      </c>
      <c r="AY1" s="60" t="s">
        <v>37</v>
      </c>
      <c r="AZ1" s="61" t="s">
        <v>38</v>
      </c>
      <c r="BA1" s="61" t="s">
        <v>39</v>
      </c>
      <c r="BB1" s="61" t="s">
        <v>40</v>
      </c>
      <c r="BC1" s="61" t="s">
        <v>41</v>
      </c>
    </row>
    <row r="2" spans="1:56" ht="78" customHeight="1">
      <c r="A2" s="37">
        <v>1</v>
      </c>
      <c r="B2" s="38" t="s">
        <v>42</v>
      </c>
      <c r="C2" s="39" t="s">
        <v>43</v>
      </c>
      <c r="D2" s="40" t="s">
        <v>44</v>
      </c>
      <c r="E2" s="41" t="s">
        <v>45</v>
      </c>
      <c r="F2" s="41" t="s">
        <v>46</v>
      </c>
      <c r="G2" s="42">
        <v>8661</v>
      </c>
      <c r="H2" s="43">
        <v>9077</v>
      </c>
      <c r="I2" s="50" t="s">
        <v>47</v>
      </c>
      <c r="J2" s="40" t="s">
        <v>48</v>
      </c>
      <c r="K2" s="43">
        <v>565</v>
      </c>
      <c r="L2" s="44">
        <v>635</v>
      </c>
      <c r="M2" s="50" t="s">
        <v>49</v>
      </c>
      <c r="N2" s="41" t="s">
        <v>50</v>
      </c>
      <c r="O2" s="42">
        <v>1313</v>
      </c>
      <c r="P2" s="51">
        <v>1325</v>
      </c>
      <c r="Q2" s="50" t="s">
        <v>51</v>
      </c>
      <c r="R2" s="41" t="s">
        <v>52</v>
      </c>
      <c r="S2" s="43">
        <v>397</v>
      </c>
      <c r="T2" s="39">
        <v>456</v>
      </c>
      <c r="U2" s="50" t="s">
        <v>53</v>
      </c>
      <c r="V2" s="41" t="s">
        <v>54</v>
      </c>
      <c r="W2" s="42">
        <v>1004</v>
      </c>
      <c r="X2" s="42">
        <v>1036</v>
      </c>
      <c r="Y2" s="50" t="s">
        <v>55</v>
      </c>
      <c r="Z2" s="41" t="s">
        <v>56</v>
      </c>
      <c r="AA2" s="42">
        <v>1962</v>
      </c>
      <c r="AB2" s="42">
        <v>2065</v>
      </c>
      <c r="AC2" s="50" t="s">
        <v>57</v>
      </c>
      <c r="AD2" s="41" t="s">
        <v>58</v>
      </c>
      <c r="AE2" s="43">
        <v>409</v>
      </c>
      <c r="AF2" s="43">
        <v>483</v>
      </c>
      <c r="AG2" s="50" t="s">
        <v>59</v>
      </c>
      <c r="AH2" s="41" t="s">
        <v>60</v>
      </c>
      <c r="AI2" s="43">
        <v>588</v>
      </c>
      <c r="AJ2" s="43">
        <v>658</v>
      </c>
      <c r="AK2" s="50" t="s">
        <v>61</v>
      </c>
      <c r="AL2" s="41" t="s">
        <v>62</v>
      </c>
      <c r="AM2" s="43">
        <v>327</v>
      </c>
      <c r="AN2" s="43">
        <v>426</v>
      </c>
      <c r="AO2" s="50" t="s">
        <v>63</v>
      </c>
      <c r="AP2" s="41" t="s">
        <v>64</v>
      </c>
      <c r="AQ2" s="42">
        <v>15697</v>
      </c>
      <c r="AR2" s="42">
        <v>16421</v>
      </c>
      <c r="AS2" s="63" t="s">
        <v>65</v>
      </c>
      <c r="AT2" s="41"/>
      <c r="AU2" s="43"/>
      <c r="AV2" s="41" t="s">
        <v>66</v>
      </c>
      <c r="AW2" s="45" t="s">
        <v>67</v>
      </c>
      <c r="AY2" s="62">
        <f>G2+K2+O2+S2+W2+AA2+AE2+AI2+AM2+AQ2+AU2</f>
        <v>30923</v>
      </c>
      <c r="AZ2" s="62">
        <f>H2+L2+P2+T2+X2+AB2+AF2+AJ2+AN2+AR2</f>
        <v>32582</v>
      </c>
      <c r="BA2" s="43"/>
      <c r="BB2" s="71">
        <f>AZ2+BA2</f>
        <v>32582</v>
      </c>
      <c r="BC2" s="61"/>
    </row>
    <row r="3" spans="1:56" ht="87" thickBot="1">
      <c r="A3" s="18">
        <v>2</v>
      </c>
      <c r="B3" s="46" t="s">
        <v>42</v>
      </c>
      <c r="C3" s="2" t="s">
        <v>43</v>
      </c>
      <c r="D3" s="5" t="s">
        <v>44</v>
      </c>
      <c r="E3" s="3" t="s">
        <v>68</v>
      </c>
      <c r="F3" s="3" t="s">
        <v>69</v>
      </c>
      <c r="G3" s="10">
        <v>10692</v>
      </c>
      <c r="H3" s="10">
        <v>11313</v>
      </c>
      <c r="I3" s="52" t="s">
        <v>70</v>
      </c>
      <c r="J3" s="5" t="s">
        <v>71</v>
      </c>
      <c r="K3" s="1">
        <v>900</v>
      </c>
      <c r="L3" s="51">
        <v>1031</v>
      </c>
      <c r="M3" s="52" t="s">
        <v>72</v>
      </c>
      <c r="N3" s="3" t="s">
        <v>73</v>
      </c>
      <c r="O3" s="1">
        <v>459</v>
      </c>
      <c r="P3" s="1">
        <v>566</v>
      </c>
      <c r="Q3" s="52" t="s">
        <v>74</v>
      </c>
      <c r="R3" s="3" t="s">
        <v>75</v>
      </c>
      <c r="S3" s="1">
        <v>615</v>
      </c>
      <c r="T3" s="1">
        <v>780</v>
      </c>
      <c r="U3" s="52" t="s">
        <v>76</v>
      </c>
      <c r="V3" s="3" t="s">
        <v>77</v>
      </c>
      <c r="W3" s="10">
        <v>3467</v>
      </c>
      <c r="X3" s="42">
        <v>3666</v>
      </c>
      <c r="Y3" s="52" t="s">
        <v>78</v>
      </c>
      <c r="Z3" s="3" t="s">
        <v>79</v>
      </c>
      <c r="AA3" s="1">
        <v>647</v>
      </c>
      <c r="AB3" s="1">
        <v>873</v>
      </c>
      <c r="AC3" s="52" t="s">
        <v>80</v>
      </c>
      <c r="AD3" s="3" t="s">
        <v>81</v>
      </c>
      <c r="AE3" s="1">
        <v>644</v>
      </c>
      <c r="AF3" s="1">
        <v>795</v>
      </c>
      <c r="AG3" s="52" t="s">
        <v>82</v>
      </c>
      <c r="AH3" s="3" t="s">
        <v>83</v>
      </c>
      <c r="AI3" s="1">
        <v>325</v>
      </c>
      <c r="AJ3" s="1">
        <v>476</v>
      </c>
      <c r="AK3" s="52" t="s">
        <v>84</v>
      </c>
      <c r="AL3" s="3" t="s">
        <v>85</v>
      </c>
      <c r="AM3" s="10">
        <v>23055</v>
      </c>
      <c r="AN3" s="10">
        <v>21824</v>
      </c>
      <c r="AO3" s="53" t="s">
        <v>86</v>
      </c>
      <c r="AP3" s="3"/>
      <c r="AQ3" s="1"/>
      <c r="AR3" s="1"/>
      <c r="AS3" s="3"/>
      <c r="AT3" s="3"/>
      <c r="AU3" s="1"/>
      <c r="AV3" s="3" t="s">
        <v>87</v>
      </c>
      <c r="AW3" s="19" t="s">
        <v>88</v>
      </c>
      <c r="AY3" s="62">
        <f t="shared" ref="AY3:AY23" si="0">G3+K3+O3+S3+W3+AA3+AE3+AI3+AM3+AQ3+AU3</f>
        <v>40804</v>
      </c>
      <c r="AZ3" s="62">
        <f>H3+L3+P3+T3+X3+AB3+AF3+AJ3+AN3+AR3</f>
        <v>41324</v>
      </c>
      <c r="BA3" s="62"/>
      <c r="BB3" s="71">
        <f t="shared" ref="BB3:BB23" si="1">AZ3+BA3</f>
        <v>41324</v>
      </c>
      <c r="BC3" s="61"/>
    </row>
    <row r="4" spans="1:56" ht="78" customHeight="1">
      <c r="A4" s="18">
        <v>3</v>
      </c>
      <c r="B4" s="46" t="s">
        <v>42</v>
      </c>
      <c r="C4" s="2" t="s">
        <v>43</v>
      </c>
      <c r="D4" s="5" t="s">
        <v>44</v>
      </c>
      <c r="E4" s="3" t="s">
        <v>89</v>
      </c>
      <c r="F4" s="3" t="s">
        <v>69</v>
      </c>
      <c r="G4" s="10">
        <v>17821</v>
      </c>
      <c r="H4" s="10">
        <v>19413</v>
      </c>
      <c r="I4" s="52" t="s">
        <v>90</v>
      </c>
      <c r="J4" s="5" t="s">
        <v>91</v>
      </c>
      <c r="K4" s="1">
        <v>281</v>
      </c>
      <c r="L4" s="35">
        <v>391</v>
      </c>
      <c r="M4" s="52" t="s">
        <v>92</v>
      </c>
      <c r="N4" s="3" t="s">
        <v>93</v>
      </c>
      <c r="O4" s="1">
        <v>777</v>
      </c>
      <c r="P4" s="1">
        <v>893</v>
      </c>
      <c r="Q4" s="52" t="s">
        <v>94</v>
      </c>
      <c r="R4" s="3" t="s">
        <v>95</v>
      </c>
      <c r="S4" s="1">
        <v>873</v>
      </c>
      <c r="T4" s="1">
        <v>983</v>
      </c>
      <c r="U4" s="52" t="s">
        <v>96</v>
      </c>
      <c r="V4" s="3" t="s">
        <v>97</v>
      </c>
      <c r="W4" s="10">
        <v>9181</v>
      </c>
      <c r="X4" s="42">
        <v>9280</v>
      </c>
      <c r="Y4" s="52" t="s">
        <v>98</v>
      </c>
      <c r="Z4" s="3" t="s">
        <v>99</v>
      </c>
      <c r="AA4" s="10">
        <v>1186</v>
      </c>
      <c r="AB4" s="10">
        <v>1341</v>
      </c>
      <c r="AC4" s="52" t="s">
        <v>100</v>
      </c>
      <c r="AD4" s="3" t="s">
        <v>101</v>
      </c>
      <c r="AE4" s="10">
        <v>1397</v>
      </c>
      <c r="AF4" s="10">
        <v>1530</v>
      </c>
      <c r="AG4" s="52" t="s">
        <v>102</v>
      </c>
      <c r="AH4" s="3" t="s">
        <v>103</v>
      </c>
      <c r="AI4" s="10">
        <v>548</v>
      </c>
      <c r="AJ4" s="10">
        <v>646</v>
      </c>
      <c r="AK4" s="52" t="s">
        <v>104</v>
      </c>
      <c r="AL4" s="3" t="s">
        <v>105</v>
      </c>
      <c r="AM4" s="10">
        <v>14307</v>
      </c>
      <c r="AN4" s="10">
        <v>15334</v>
      </c>
      <c r="AO4" s="53" t="s">
        <v>106</v>
      </c>
      <c r="AP4" s="3"/>
      <c r="AQ4" s="1"/>
      <c r="AR4" s="1"/>
      <c r="AS4" s="3"/>
      <c r="AT4" s="3"/>
      <c r="AU4" s="1"/>
      <c r="AV4" s="3" t="s">
        <v>107</v>
      </c>
      <c r="AW4" s="19" t="s">
        <v>108</v>
      </c>
      <c r="AY4" s="62">
        <f t="shared" si="0"/>
        <v>46371</v>
      </c>
      <c r="AZ4" s="62">
        <f t="shared" ref="AZ4:AZ23" si="2">H4+L4+P4+T4+X4+AB4+AF4+AJ4+AN4+AR4</f>
        <v>49811</v>
      </c>
      <c r="BA4" s="62"/>
      <c r="BB4" s="71">
        <f t="shared" si="1"/>
        <v>49811</v>
      </c>
      <c r="BC4" s="61"/>
    </row>
    <row r="5" spans="1:56" ht="78" customHeight="1">
      <c r="A5" s="18">
        <v>4</v>
      </c>
      <c r="B5" s="46" t="s">
        <v>42</v>
      </c>
      <c r="C5" s="2" t="s">
        <v>43</v>
      </c>
      <c r="D5" s="5" t="s">
        <v>109</v>
      </c>
      <c r="E5" s="3" t="s">
        <v>110</v>
      </c>
      <c r="F5" s="3" t="s">
        <v>111</v>
      </c>
      <c r="G5" s="10">
        <v>17496</v>
      </c>
      <c r="H5" s="73">
        <v>17428</v>
      </c>
      <c r="I5" s="52" t="s">
        <v>112</v>
      </c>
      <c r="J5" s="5" t="s">
        <v>113</v>
      </c>
      <c r="K5" s="1">
        <v>451</v>
      </c>
      <c r="L5" s="35">
        <v>474</v>
      </c>
      <c r="M5" s="52" t="s">
        <v>114</v>
      </c>
      <c r="N5" s="3" t="s">
        <v>115</v>
      </c>
      <c r="O5" s="1">
        <v>531</v>
      </c>
      <c r="P5" s="1">
        <v>554</v>
      </c>
      <c r="Q5" s="52" t="s">
        <v>116</v>
      </c>
      <c r="R5" s="3" t="s">
        <v>117</v>
      </c>
      <c r="S5" s="1">
        <v>941</v>
      </c>
      <c r="T5" s="1">
        <v>663</v>
      </c>
      <c r="U5" s="52" t="s">
        <v>118</v>
      </c>
      <c r="V5" s="3" t="s">
        <v>119</v>
      </c>
      <c r="W5" s="10">
        <v>4172</v>
      </c>
      <c r="X5" s="10">
        <v>4755</v>
      </c>
      <c r="Y5" s="52" t="s">
        <v>120</v>
      </c>
      <c r="Z5" s="3" t="s">
        <v>121</v>
      </c>
      <c r="AA5" s="1">
        <v>429</v>
      </c>
      <c r="AB5" s="1">
        <v>523</v>
      </c>
      <c r="AC5" s="52" t="s">
        <v>122</v>
      </c>
      <c r="AD5" s="3" t="s">
        <v>123</v>
      </c>
      <c r="AE5" s="1">
        <v>463</v>
      </c>
      <c r="AF5" s="1">
        <v>522</v>
      </c>
      <c r="AG5" s="52" t="s">
        <v>124</v>
      </c>
      <c r="AH5" s="3" t="s">
        <v>125</v>
      </c>
      <c r="AI5" s="1">
        <v>649</v>
      </c>
      <c r="AJ5" s="1">
        <v>812</v>
      </c>
      <c r="AK5" s="52" t="s">
        <v>126</v>
      </c>
      <c r="AL5" s="3" t="s">
        <v>127</v>
      </c>
      <c r="AM5" s="10">
        <v>24438</v>
      </c>
      <c r="AN5" s="10">
        <v>24429</v>
      </c>
      <c r="AO5" s="53" t="s">
        <v>128</v>
      </c>
      <c r="AP5" s="3"/>
      <c r="AQ5" s="1"/>
      <c r="AR5" s="1"/>
      <c r="AS5" s="3"/>
      <c r="AT5" s="3"/>
      <c r="AU5" s="1"/>
      <c r="AV5" s="3" t="s">
        <v>129</v>
      </c>
      <c r="AW5" s="19" t="s">
        <v>130</v>
      </c>
      <c r="AY5" s="62">
        <f t="shared" si="0"/>
        <v>49570</v>
      </c>
      <c r="AZ5" s="62">
        <f t="shared" si="2"/>
        <v>50160</v>
      </c>
      <c r="BA5" s="10">
        <v>17496</v>
      </c>
      <c r="BB5" s="71">
        <f t="shared" si="1"/>
        <v>67656</v>
      </c>
      <c r="BC5" s="61"/>
    </row>
    <row r="6" spans="1:56" ht="78" customHeight="1">
      <c r="A6" s="18">
        <v>5</v>
      </c>
      <c r="B6" s="46" t="s">
        <v>42</v>
      </c>
      <c r="C6" s="2" t="s">
        <v>43</v>
      </c>
      <c r="D6" s="5" t="s">
        <v>131</v>
      </c>
      <c r="E6" s="3" t="s">
        <v>132</v>
      </c>
      <c r="F6" s="3" t="s">
        <v>133</v>
      </c>
      <c r="G6" s="10">
        <v>19259</v>
      </c>
      <c r="H6" s="66">
        <v>19431</v>
      </c>
      <c r="I6" s="52" t="s">
        <v>134</v>
      </c>
      <c r="J6" s="5" t="s">
        <v>135</v>
      </c>
      <c r="K6" s="10">
        <v>1132</v>
      </c>
      <c r="L6" s="65">
        <v>1255</v>
      </c>
      <c r="M6" s="52" t="s">
        <v>136</v>
      </c>
      <c r="N6" s="3" t="s">
        <v>137</v>
      </c>
      <c r="O6" s="10">
        <v>3406</v>
      </c>
      <c r="P6" s="10">
        <v>3390</v>
      </c>
      <c r="Q6" s="52" t="s">
        <v>138</v>
      </c>
      <c r="R6" s="3" t="s">
        <v>139</v>
      </c>
      <c r="S6" s="10">
        <v>1293</v>
      </c>
      <c r="T6" s="10">
        <v>1503</v>
      </c>
      <c r="U6" s="52" t="s">
        <v>140</v>
      </c>
      <c r="V6" s="3" t="s">
        <v>141</v>
      </c>
      <c r="W6" s="10">
        <v>1883</v>
      </c>
      <c r="X6" s="10">
        <v>2077</v>
      </c>
      <c r="Y6" s="52" t="s">
        <v>142</v>
      </c>
      <c r="Z6" s="3" t="s">
        <v>143</v>
      </c>
      <c r="AA6" s="1">
        <v>70</v>
      </c>
      <c r="AB6" s="1">
        <v>123</v>
      </c>
      <c r="AC6" s="52" t="s">
        <v>144</v>
      </c>
      <c r="AD6" s="3" t="s">
        <v>145</v>
      </c>
      <c r="AE6" s="1">
        <v>322</v>
      </c>
      <c r="AF6" s="1">
        <v>394</v>
      </c>
      <c r="AG6" s="52" t="s">
        <v>146</v>
      </c>
      <c r="AH6" s="3" t="s">
        <v>147</v>
      </c>
      <c r="AI6" s="1">
        <v>156</v>
      </c>
      <c r="AJ6" s="1">
        <v>313</v>
      </c>
      <c r="AK6" s="52" t="s">
        <v>148</v>
      </c>
      <c r="AL6" s="3" t="s">
        <v>149</v>
      </c>
      <c r="AM6" s="10">
        <v>17112</v>
      </c>
      <c r="AN6" s="10">
        <v>17096</v>
      </c>
      <c r="AO6" s="53" t="s">
        <v>150</v>
      </c>
      <c r="AP6" s="3"/>
      <c r="AQ6" s="1"/>
      <c r="AR6" s="1"/>
      <c r="AS6" s="3"/>
      <c r="AT6" s="3"/>
      <c r="AU6" s="1"/>
      <c r="AV6" s="3" t="s">
        <v>151</v>
      </c>
      <c r="AW6" s="19" t="s">
        <v>152</v>
      </c>
      <c r="AY6" s="62">
        <f t="shared" si="0"/>
        <v>44633</v>
      </c>
      <c r="AZ6" s="62">
        <f t="shared" si="2"/>
        <v>45582</v>
      </c>
      <c r="BA6" s="62"/>
      <c r="BB6" s="71">
        <f t="shared" si="1"/>
        <v>45582</v>
      </c>
      <c r="BC6" s="61"/>
    </row>
    <row r="7" spans="1:56" ht="78" customHeight="1">
      <c r="A7" s="18">
        <v>6</v>
      </c>
      <c r="B7" s="46" t="s">
        <v>42</v>
      </c>
      <c r="C7" s="2" t="s">
        <v>43</v>
      </c>
      <c r="D7" s="5" t="s">
        <v>153</v>
      </c>
      <c r="E7" s="3" t="s">
        <v>154</v>
      </c>
      <c r="F7" s="3" t="s">
        <v>155</v>
      </c>
      <c r="G7" s="10">
        <v>14811</v>
      </c>
      <c r="H7" s="66">
        <v>14580</v>
      </c>
      <c r="I7" s="52" t="s">
        <v>156</v>
      </c>
      <c r="J7" s="5" t="s">
        <v>157</v>
      </c>
      <c r="K7" s="10">
        <v>5129</v>
      </c>
      <c r="L7" s="10">
        <v>5198</v>
      </c>
      <c r="M7" s="52" t="s">
        <v>158</v>
      </c>
      <c r="N7" s="3" t="s">
        <v>159</v>
      </c>
      <c r="O7" s="10">
        <v>1937</v>
      </c>
      <c r="P7" s="10">
        <v>1982</v>
      </c>
      <c r="Q7" s="52" t="s">
        <v>160</v>
      </c>
      <c r="R7" s="3" t="s">
        <v>161</v>
      </c>
      <c r="S7" s="54">
        <v>1751</v>
      </c>
      <c r="T7" s="54">
        <v>2362</v>
      </c>
      <c r="U7" s="52" t="s">
        <v>162</v>
      </c>
      <c r="V7" s="3" t="s">
        <v>163</v>
      </c>
      <c r="W7" s="10">
        <v>6231</v>
      </c>
      <c r="X7" s="67"/>
      <c r="Y7" s="55" t="s">
        <v>164</v>
      </c>
      <c r="Z7" s="3" t="s">
        <v>165</v>
      </c>
      <c r="AA7" s="10">
        <v>1797</v>
      </c>
      <c r="AB7" s="10">
        <v>1900</v>
      </c>
      <c r="AC7" s="52" t="s">
        <v>166</v>
      </c>
      <c r="AD7" s="3" t="s">
        <v>167</v>
      </c>
      <c r="AE7" s="10">
        <v>1371</v>
      </c>
      <c r="AF7" s="10">
        <v>1466</v>
      </c>
      <c r="AG7" s="52" t="s">
        <v>168</v>
      </c>
      <c r="AH7" s="3" t="s">
        <v>169</v>
      </c>
      <c r="AI7" s="10">
        <v>1215</v>
      </c>
      <c r="AJ7" s="10">
        <v>1255</v>
      </c>
      <c r="AK7" s="52" t="s">
        <v>170</v>
      </c>
      <c r="AL7" s="3" t="s">
        <v>171</v>
      </c>
      <c r="AM7" s="10">
        <v>3333</v>
      </c>
      <c r="AN7" s="67"/>
      <c r="AO7" s="55" t="s">
        <v>164</v>
      </c>
      <c r="AP7" s="3"/>
      <c r="AQ7" s="1"/>
      <c r="AR7" s="1"/>
      <c r="AS7" s="3"/>
      <c r="AT7" s="3"/>
      <c r="AU7" s="1"/>
      <c r="AV7" s="3" t="s">
        <v>172</v>
      </c>
      <c r="AW7" s="19" t="s">
        <v>173</v>
      </c>
      <c r="AY7" s="62">
        <f t="shared" si="0"/>
        <v>37575</v>
      </c>
      <c r="AZ7" s="62">
        <f t="shared" si="2"/>
        <v>28743</v>
      </c>
      <c r="BA7" s="10">
        <f>AM7+W7</f>
        <v>9564</v>
      </c>
      <c r="BB7" s="71">
        <f t="shared" si="1"/>
        <v>38307</v>
      </c>
      <c r="BC7" s="61" t="s">
        <v>174</v>
      </c>
    </row>
    <row r="8" spans="1:56" ht="78" customHeight="1">
      <c r="A8" s="18">
        <v>7</v>
      </c>
      <c r="B8" s="46" t="s">
        <v>42</v>
      </c>
      <c r="C8" s="2" t="s">
        <v>43</v>
      </c>
      <c r="D8" s="5"/>
      <c r="E8" s="3" t="s">
        <v>175</v>
      </c>
      <c r="F8" s="3" t="s">
        <v>176</v>
      </c>
      <c r="G8" s="10">
        <v>19963</v>
      </c>
      <c r="H8" s="56">
        <v>19674</v>
      </c>
      <c r="I8" s="74" t="s">
        <v>177</v>
      </c>
      <c r="J8" s="5" t="s">
        <v>178</v>
      </c>
      <c r="K8" s="10">
        <v>1568</v>
      </c>
      <c r="L8" s="35"/>
      <c r="M8" s="35"/>
      <c r="N8" s="3" t="s">
        <v>179</v>
      </c>
      <c r="O8" s="1">
        <v>283</v>
      </c>
      <c r="P8" s="1"/>
      <c r="Q8" s="35"/>
      <c r="R8" s="3" t="s">
        <v>180</v>
      </c>
      <c r="S8" s="1">
        <v>238</v>
      </c>
      <c r="T8" s="1"/>
      <c r="U8" s="35"/>
      <c r="V8" s="3" t="s">
        <v>181</v>
      </c>
      <c r="W8" s="10">
        <v>1644</v>
      </c>
      <c r="X8" s="10"/>
      <c r="Y8" s="35"/>
      <c r="Z8" s="3" t="s">
        <v>182</v>
      </c>
      <c r="AA8" s="10">
        <v>1671</v>
      </c>
      <c r="AB8" s="10">
        <v>1756</v>
      </c>
      <c r="AC8" s="52" t="s">
        <v>183</v>
      </c>
      <c r="AD8" s="3" t="s">
        <v>184</v>
      </c>
      <c r="AE8" s="1">
        <v>737</v>
      </c>
      <c r="AF8" s="1">
        <v>832</v>
      </c>
      <c r="AG8" s="52" t="s">
        <v>185</v>
      </c>
      <c r="AH8" s="3" t="s">
        <v>186</v>
      </c>
      <c r="AI8" s="1">
        <v>623</v>
      </c>
      <c r="AJ8" s="1"/>
      <c r="AK8" s="35"/>
      <c r="AL8" s="3" t="s">
        <v>187</v>
      </c>
      <c r="AM8" s="10">
        <v>25203</v>
      </c>
      <c r="AN8" s="10">
        <v>25041</v>
      </c>
      <c r="AO8" s="52" t="s">
        <v>188</v>
      </c>
      <c r="AP8" s="3"/>
      <c r="AQ8" s="1"/>
      <c r="AR8" s="1"/>
      <c r="AS8" s="3"/>
      <c r="AT8" s="3"/>
      <c r="AU8" s="1"/>
      <c r="AV8" s="3" t="s">
        <v>129</v>
      </c>
      <c r="AW8" s="19" t="s">
        <v>189</v>
      </c>
      <c r="AY8" s="62">
        <f t="shared" si="0"/>
        <v>51930</v>
      </c>
      <c r="AZ8" s="62">
        <f t="shared" si="2"/>
        <v>47303</v>
      </c>
      <c r="BA8" s="62">
        <f>AM8+AI8+AE8+AA8+W8+S8+O8+K8+G8</f>
        <v>51930</v>
      </c>
      <c r="BB8" s="71">
        <f t="shared" si="1"/>
        <v>99233</v>
      </c>
      <c r="BC8" s="68" t="s">
        <v>190</v>
      </c>
      <c r="BD8" t="s">
        <v>191</v>
      </c>
    </row>
    <row r="9" spans="1:56" ht="78" customHeight="1">
      <c r="A9" s="18">
        <v>8</v>
      </c>
      <c r="B9" s="46" t="s">
        <v>42</v>
      </c>
      <c r="C9" s="2" t="s">
        <v>43</v>
      </c>
      <c r="D9" s="5" t="s">
        <v>192</v>
      </c>
      <c r="E9" s="3" t="s">
        <v>193</v>
      </c>
      <c r="F9" s="3" t="s">
        <v>87</v>
      </c>
      <c r="G9" s="10">
        <v>23145</v>
      </c>
      <c r="H9" s="10">
        <v>16355</v>
      </c>
      <c r="I9" s="52" t="s">
        <v>194</v>
      </c>
      <c r="J9" s="5" t="s">
        <v>195</v>
      </c>
      <c r="K9" s="1">
        <v>452</v>
      </c>
      <c r="L9" s="35">
        <v>451</v>
      </c>
      <c r="M9" s="52" t="s">
        <v>196</v>
      </c>
      <c r="N9" s="3" t="s">
        <v>197</v>
      </c>
      <c r="O9" s="1">
        <v>246</v>
      </c>
      <c r="P9" s="1">
        <v>266</v>
      </c>
      <c r="Q9" s="52" t="s">
        <v>198</v>
      </c>
      <c r="R9" s="3" t="s">
        <v>199</v>
      </c>
      <c r="S9" s="1">
        <v>575</v>
      </c>
      <c r="T9" s="1">
        <v>645</v>
      </c>
      <c r="U9" s="52" t="s">
        <v>200</v>
      </c>
      <c r="V9" s="3" t="s">
        <v>201</v>
      </c>
      <c r="W9" s="10">
        <v>10379</v>
      </c>
      <c r="X9" s="10">
        <v>10360</v>
      </c>
      <c r="Y9" s="52" t="s">
        <v>202</v>
      </c>
      <c r="Z9" s="3" t="s">
        <v>203</v>
      </c>
      <c r="AA9" s="1">
        <v>463</v>
      </c>
      <c r="AB9" s="1">
        <v>441</v>
      </c>
      <c r="AC9" s="52" t="s">
        <v>204</v>
      </c>
      <c r="AD9" s="57" t="s">
        <v>205</v>
      </c>
      <c r="AE9" s="1">
        <v>260</v>
      </c>
      <c r="AF9" s="1">
        <v>282</v>
      </c>
      <c r="AG9" s="52" t="s">
        <v>206</v>
      </c>
      <c r="AH9" s="3" t="s">
        <v>207</v>
      </c>
      <c r="AI9" s="1">
        <v>367</v>
      </c>
      <c r="AJ9" s="1">
        <v>337</v>
      </c>
      <c r="AK9" s="52" t="s">
        <v>208</v>
      </c>
      <c r="AL9" s="3" t="s">
        <v>209</v>
      </c>
      <c r="AM9" s="10">
        <v>20532</v>
      </c>
      <c r="AN9" s="10">
        <v>21748</v>
      </c>
      <c r="AO9" s="52" t="s">
        <v>210</v>
      </c>
      <c r="AP9" s="3"/>
      <c r="AQ9" s="1"/>
      <c r="AR9" s="1"/>
      <c r="AS9" s="3"/>
      <c r="AT9" s="3"/>
      <c r="AU9" s="1"/>
      <c r="AV9" s="3" t="s">
        <v>176</v>
      </c>
      <c r="AW9" s="19" t="s">
        <v>211</v>
      </c>
      <c r="AY9" s="62">
        <f t="shared" si="0"/>
        <v>56419</v>
      </c>
      <c r="AZ9" s="62">
        <f t="shared" si="2"/>
        <v>50885</v>
      </c>
      <c r="BA9" s="62"/>
      <c r="BB9" s="71">
        <f t="shared" si="1"/>
        <v>50885</v>
      </c>
      <c r="BC9" s="61"/>
    </row>
    <row r="10" spans="1:56" ht="78" customHeight="1">
      <c r="A10" s="18">
        <v>9</v>
      </c>
      <c r="B10" s="46" t="s">
        <v>42</v>
      </c>
      <c r="C10" s="2" t="s">
        <v>43</v>
      </c>
      <c r="D10" s="5" t="s">
        <v>153</v>
      </c>
      <c r="E10" s="3" t="s">
        <v>212</v>
      </c>
      <c r="F10" s="3" t="s">
        <v>155</v>
      </c>
      <c r="G10" s="10">
        <v>21831</v>
      </c>
      <c r="H10" s="10">
        <v>21420</v>
      </c>
      <c r="I10" s="52" t="s">
        <v>213</v>
      </c>
      <c r="J10" s="5" t="s">
        <v>214</v>
      </c>
      <c r="K10" s="1">
        <v>369</v>
      </c>
      <c r="L10" s="35">
        <v>435</v>
      </c>
      <c r="M10" s="52" t="s">
        <v>215</v>
      </c>
      <c r="N10" s="3" t="s">
        <v>216</v>
      </c>
      <c r="O10" s="1">
        <v>602</v>
      </c>
      <c r="P10" s="1">
        <v>661</v>
      </c>
      <c r="Q10" s="52" t="s">
        <v>217</v>
      </c>
      <c r="R10" s="3" t="s">
        <v>218</v>
      </c>
      <c r="S10" s="1">
        <v>636</v>
      </c>
      <c r="T10" s="1">
        <v>709</v>
      </c>
      <c r="U10" s="52" t="s">
        <v>219</v>
      </c>
      <c r="V10" s="3" t="s">
        <v>220</v>
      </c>
      <c r="W10" s="10">
        <v>9619</v>
      </c>
      <c r="X10" s="10">
        <v>7566</v>
      </c>
      <c r="Y10" s="52" t="s">
        <v>221</v>
      </c>
      <c r="Z10" s="3" t="s">
        <v>222</v>
      </c>
      <c r="AA10" s="1">
        <v>828</v>
      </c>
      <c r="AB10" s="1">
        <v>972</v>
      </c>
      <c r="AC10" s="52" t="s">
        <v>223</v>
      </c>
      <c r="AD10" s="3" t="s">
        <v>224</v>
      </c>
      <c r="AE10" s="10">
        <v>1092</v>
      </c>
      <c r="AF10" s="10">
        <v>1167</v>
      </c>
      <c r="AG10" s="52" t="s">
        <v>225</v>
      </c>
      <c r="AH10" s="3" t="s">
        <v>226</v>
      </c>
      <c r="AI10" s="10">
        <v>1928</v>
      </c>
      <c r="AJ10" s="10">
        <v>2019</v>
      </c>
      <c r="AK10" s="52" t="s">
        <v>227</v>
      </c>
      <c r="AL10" s="3" t="s">
        <v>228</v>
      </c>
      <c r="AM10" s="10">
        <v>20826</v>
      </c>
      <c r="AN10" s="10">
        <v>20325</v>
      </c>
      <c r="AO10" s="52" t="s">
        <v>229</v>
      </c>
      <c r="AP10" s="3"/>
      <c r="AQ10" s="1"/>
      <c r="AR10" s="1"/>
      <c r="AS10" s="3"/>
      <c r="AT10" s="3"/>
      <c r="AU10" s="1"/>
      <c r="AV10" s="3" t="s">
        <v>69</v>
      </c>
      <c r="AW10" s="19" t="s">
        <v>230</v>
      </c>
      <c r="AY10" s="62">
        <f t="shared" si="0"/>
        <v>57731</v>
      </c>
      <c r="AZ10" s="62">
        <f t="shared" si="2"/>
        <v>55274</v>
      </c>
      <c r="BA10" s="62"/>
      <c r="BB10" s="71">
        <f t="shared" si="1"/>
        <v>55274</v>
      </c>
      <c r="BC10" s="61" t="s">
        <v>231</v>
      </c>
    </row>
    <row r="11" spans="1:56" ht="77.25" customHeight="1">
      <c r="A11" s="18">
        <v>10</v>
      </c>
      <c r="B11" s="46" t="s">
        <v>42</v>
      </c>
      <c r="C11" s="2" t="s">
        <v>43</v>
      </c>
      <c r="D11" s="5" t="s">
        <v>232</v>
      </c>
      <c r="E11" s="3" t="s">
        <v>233</v>
      </c>
      <c r="F11" s="3" t="s">
        <v>234</v>
      </c>
      <c r="G11" s="10">
        <v>16124</v>
      </c>
      <c r="H11" s="64">
        <v>16220</v>
      </c>
      <c r="I11" s="52" t="s">
        <v>235</v>
      </c>
      <c r="J11" s="5" t="s">
        <v>236</v>
      </c>
      <c r="K11" s="10">
        <v>1009</v>
      </c>
      <c r="L11" s="35">
        <v>1092</v>
      </c>
      <c r="M11" s="52" t="s">
        <v>237</v>
      </c>
      <c r="N11" s="3" t="s">
        <v>238</v>
      </c>
      <c r="O11" s="10">
        <v>1074</v>
      </c>
      <c r="P11" s="10">
        <v>1080</v>
      </c>
      <c r="Q11" s="52" t="s">
        <v>239</v>
      </c>
      <c r="R11" s="3" t="s">
        <v>240</v>
      </c>
      <c r="S11" s="10">
        <v>1750</v>
      </c>
      <c r="T11" s="10">
        <v>1764</v>
      </c>
      <c r="U11" s="52" t="s">
        <v>241</v>
      </c>
      <c r="V11" s="3" t="s">
        <v>242</v>
      </c>
      <c r="W11" s="10">
        <v>1306</v>
      </c>
      <c r="X11" s="10">
        <v>1255</v>
      </c>
      <c r="Y11" s="52" t="s">
        <v>243</v>
      </c>
      <c r="Z11" s="3" t="s">
        <v>244</v>
      </c>
      <c r="AA11" s="1">
        <v>407</v>
      </c>
      <c r="AB11" s="1">
        <v>441</v>
      </c>
      <c r="AC11" s="52" t="s">
        <v>245</v>
      </c>
      <c r="AD11" s="3" t="s">
        <v>246</v>
      </c>
      <c r="AE11" s="1">
        <v>909</v>
      </c>
      <c r="AF11" s="1">
        <v>983</v>
      </c>
      <c r="AG11" s="52" t="s">
        <v>247</v>
      </c>
      <c r="AH11" s="3" t="s">
        <v>248</v>
      </c>
      <c r="AI11" s="1">
        <v>325</v>
      </c>
      <c r="AJ11" s="1">
        <v>346</v>
      </c>
      <c r="AK11" s="52" t="s">
        <v>249</v>
      </c>
      <c r="AL11" s="3" t="s">
        <v>250</v>
      </c>
      <c r="AM11" s="10">
        <v>19390</v>
      </c>
      <c r="AN11" s="10">
        <v>19431</v>
      </c>
      <c r="AO11" s="52" t="s">
        <v>251</v>
      </c>
      <c r="AP11" s="3"/>
      <c r="AQ11" s="1"/>
      <c r="AR11" s="1"/>
      <c r="AS11" s="3"/>
      <c r="AT11" s="3"/>
      <c r="AU11" s="1"/>
      <c r="AV11" s="3" t="s">
        <v>252</v>
      </c>
      <c r="AW11" s="19" t="s">
        <v>253</v>
      </c>
      <c r="AY11" s="62">
        <f t="shared" si="0"/>
        <v>42294</v>
      </c>
      <c r="AZ11" s="62">
        <f t="shared" si="2"/>
        <v>42612</v>
      </c>
      <c r="BA11" s="62"/>
      <c r="BB11" s="71">
        <f t="shared" si="1"/>
        <v>42612</v>
      </c>
      <c r="BC11" s="61"/>
    </row>
    <row r="12" spans="1:56" ht="77.25" customHeight="1">
      <c r="A12" s="18">
        <v>11</v>
      </c>
      <c r="B12" s="46" t="s">
        <v>42</v>
      </c>
      <c r="C12" s="2" t="s">
        <v>43</v>
      </c>
      <c r="D12" s="5" t="s">
        <v>254</v>
      </c>
      <c r="E12" s="3" t="s">
        <v>255</v>
      </c>
      <c r="F12" s="3" t="s">
        <v>256</v>
      </c>
      <c r="G12" s="10">
        <v>16412</v>
      </c>
      <c r="H12" s="64">
        <v>32042</v>
      </c>
      <c r="I12" s="52" t="s">
        <v>257</v>
      </c>
      <c r="J12" s="2" t="s">
        <v>258</v>
      </c>
      <c r="K12" s="1">
        <v>257</v>
      </c>
      <c r="L12" s="35">
        <v>299</v>
      </c>
      <c r="M12" s="52" t="s">
        <v>259</v>
      </c>
      <c r="N12" s="1" t="s">
        <v>260</v>
      </c>
      <c r="O12" s="1">
        <v>396</v>
      </c>
      <c r="P12" s="1">
        <v>417</v>
      </c>
      <c r="Q12" s="52" t="s">
        <v>261</v>
      </c>
      <c r="R12" s="1" t="s">
        <v>262</v>
      </c>
      <c r="S12" s="10">
        <v>1304</v>
      </c>
      <c r="T12" s="10">
        <v>1398</v>
      </c>
      <c r="U12" s="52" t="s">
        <v>263</v>
      </c>
      <c r="V12" s="1" t="s">
        <v>264</v>
      </c>
      <c r="W12" s="10">
        <v>1985</v>
      </c>
      <c r="X12" s="10">
        <v>2069</v>
      </c>
      <c r="Y12" s="52" t="s">
        <v>265</v>
      </c>
      <c r="Z12" s="1" t="s">
        <v>266</v>
      </c>
      <c r="AA12" s="1">
        <v>454</v>
      </c>
      <c r="AB12" s="1">
        <v>542</v>
      </c>
      <c r="AC12" s="52" t="s">
        <v>267</v>
      </c>
      <c r="AD12" s="1" t="s">
        <v>268</v>
      </c>
      <c r="AE12" s="1">
        <v>360</v>
      </c>
      <c r="AF12" s="1">
        <v>409</v>
      </c>
      <c r="AG12" s="52" t="s">
        <v>269</v>
      </c>
      <c r="AH12" s="1" t="s">
        <v>270</v>
      </c>
      <c r="AI12" s="1">
        <v>579</v>
      </c>
      <c r="AJ12" s="1">
        <v>616</v>
      </c>
      <c r="AK12" s="52" t="s">
        <v>271</v>
      </c>
      <c r="AL12" s="1" t="s">
        <v>272</v>
      </c>
      <c r="AM12" s="10">
        <v>18911</v>
      </c>
      <c r="AN12" s="10">
        <v>32042</v>
      </c>
      <c r="AO12" s="52" t="s">
        <v>273</v>
      </c>
      <c r="AP12" s="1"/>
      <c r="AQ12" s="1"/>
      <c r="AR12" s="1"/>
      <c r="AS12" s="1"/>
      <c r="AT12" s="1"/>
      <c r="AU12" s="1"/>
      <c r="AV12" s="3" t="s">
        <v>274</v>
      </c>
      <c r="AW12" s="19" t="s">
        <v>275</v>
      </c>
      <c r="AY12" s="62">
        <f t="shared" si="0"/>
        <v>40658</v>
      </c>
      <c r="AZ12" s="62">
        <f t="shared" si="2"/>
        <v>69834</v>
      </c>
      <c r="BA12" s="62"/>
      <c r="BB12" s="71">
        <f t="shared" si="1"/>
        <v>69834</v>
      </c>
      <c r="BC12" s="61"/>
    </row>
    <row r="13" spans="1:56" ht="77.25" customHeight="1">
      <c r="A13" s="18">
        <v>12</v>
      </c>
      <c r="B13" s="46" t="s">
        <v>42</v>
      </c>
      <c r="C13" s="2" t="s">
        <v>43</v>
      </c>
      <c r="D13" s="5"/>
      <c r="E13" s="3" t="s">
        <v>276</v>
      </c>
      <c r="F13" s="3" t="s">
        <v>176</v>
      </c>
      <c r="G13" s="10">
        <v>13927</v>
      </c>
      <c r="H13" s="1">
        <v>13844</v>
      </c>
      <c r="I13" s="52" t="s">
        <v>277</v>
      </c>
      <c r="J13" s="2" t="s">
        <v>278</v>
      </c>
      <c r="K13" s="1">
        <v>427</v>
      </c>
      <c r="L13" s="35">
        <v>479</v>
      </c>
      <c r="M13" s="52" t="s">
        <v>279</v>
      </c>
      <c r="N13" s="1" t="s">
        <v>280</v>
      </c>
      <c r="O13" s="1">
        <v>285</v>
      </c>
      <c r="P13" s="1">
        <v>342</v>
      </c>
      <c r="Q13" s="52" t="s">
        <v>281</v>
      </c>
      <c r="R13" s="1" t="s">
        <v>282</v>
      </c>
      <c r="S13" s="1">
        <v>707</v>
      </c>
      <c r="T13" s="1">
        <v>704</v>
      </c>
      <c r="U13" s="52" t="s">
        <v>283</v>
      </c>
      <c r="V13" s="1" t="s">
        <v>284</v>
      </c>
      <c r="W13" s="10">
        <v>8237</v>
      </c>
      <c r="X13" s="10">
        <v>8325</v>
      </c>
      <c r="Y13" s="52" t="s">
        <v>285</v>
      </c>
      <c r="Z13" s="1" t="s">
        <v>286</v>
      </c>
      <c r="AA13" s="1">
        <v>532</v>
      </c>
      <c r="AB13" s="1">
        <v>566</v>
      </c>
      <c r="AC13" s="52" t="s">
        <v>287</v>
      </c>
      <c r="AD13" s="1" t="s">
        <v>288</v>
      </c>
      <c r="AE13" s="1">
        <v>618</v>
      </c>
      <c r="AF13" s="1">
        <v>666</v>
      </c>
      <c r="AG13" s="52" t="s">
        <v>289</v>
      </c>
      <c r="AH13" s="1" t="s">
        <v>290</v>
      </c>
      <c r="AI13" s="1">
        <v>473</v>
      </c>
      <c r="AJ13" s="1">
        <v>539</v>
      </c>
      <c r="AK13" s="52" t="s">
        <v>291</v>
      </c>
      <c r="AL13" s="1" t="s">
        <v>292</v>
      </c>
      <c r="AM13" s="10">
        <v>20900</v>
      </c>
      <c r="AN13" s="10">
        <v>21817</v>
      </c>
      <c r="AO13" s="52" t="s">
        <v>293</v>
      </c>
      <c r="AP13" s="1"/>
      <c r="AQ13" s="1"/>
      <c r="AR13" s="1"/>
      <c r="AS13" s="1"/>
      <c r="AT13" s="1"/>
      <c r="AU13" s="1"/>
      <c r="AV13" s="3" t="s">
        <v>252</v>
      </c>
      <c r="AW13" s="19" t="s">
        <v>294</v>
      </c>
      <c r="AY13" s="62">
        <f t="shared" si="0"/>
        <v>46106</v>
      </c>
      <c r="AZ13" s="62">
        <f t="shared" si="2"/>
        <v>47282</v>
      </c>
      <c r="BA13" s="62"/>
      <c r="BB13" s="71">
        <f t="shared" si="1"/>
        <v>47282</v>
      </c>
      <c r="BC13" s="61"/>
    </row>
    <row r="14" spans="1:56" ht="77.25" customHeight="1">
      <c r="A14" s="18">
        <v>13</v>
      </c>
      <c r="B14" s="46" t="s">
        <v>42</v>
      </c>
      <c r="C14" s="2" t="s">
        <v>43</v>
      </c>
      <c r="D14" s="5" t="s">
        <v>232</v>
      </c>
      <c r="E14" s="3" t="s">
        <v>295</v>
      </c>
      <c r="F14" s="3" t="s">
        <v>234</v>
      </c>
      <c r="G14" s="10">
        <v>13273</v>
      </c>
      <c r="H14" s="1">
        <v>12977</v>
      </c>
      <c r="I14" s="52" t="s">
        <v>296</v>
      </c>
      <c r="J14" s="2" t="s">
        <v>297</v>
      </c>
      <c r="K14" s="1">
        <v>808</v>
      </c>
      <c r="L14" s="35">
        <v>833</v>
      </c>
      <c r="M14" s="52" t="s">
        <v>298</v>
      </c>
      <c r="N14" s="1" t="s">
        <v>299</v>
      </c>
      <c r="O14" s="1">
        <v>678</v>
      </c>
      <c r="P14" s="1"/>
      <c r="Q14" s="35"/>
      <c r="R14" s="1" t="s">
        <v>300</v>
      </c>
      <c r="S14" s="10">
        <v>2702</v>
      </c>
      <c r="T14" s="10">
        <v>2722</v>
      </c>
      <c r="U14" s="52" t="s">
        <v>301</v>
      </c>
      <c r="V14" s="1" t="s">
        <v>302</v>
      </c>
      <c r="W14" s="1">
        <v>779</v>
      </c>
      <c r="X14" s="1"/>
      <c r="Y14" s="75"/>
      <c r="Z14" s="1" t="s">
        <v>303</v>
      </c>
      <c r="AA14" s="10">
        <v>4077</v>
      </c>
      <c r="AB14" s="10"/>
      <c r="AC14" s="35"/>
      <c r="AD14" s="1" t="s">
        <v>304</v>
      </c>
      <c r="AE14" s="1">
        <v>162</v>
      </c>
      <c r="AF14" s="1"/>
      <c r="AG14" s="35"/>
      <c r="AH14" s="1" t="s">
        <v>305</v>
      </c>
      <c r="AI14" s="1">
        <v>275</v>
      </c>
      <c r="AJ14" s="1"/>
      <c r="AK14" s="35"/>
      <c r="AL14" s="1" t="s">
        <v>306</v>
      </c>
      <c r="AM14" s="1">
        <v>660</v>
      </c>
      <c r="AN14" s="1">
        <v>698</v>
      </c>
      <c r="AO14" s="52" t="s">
        <v>307</v>
      </c>
      <c r="AP14" s="1" t="s">
        <v>308</v>
      </c>
      <c r="AQ14" s="10">
        <v>21092</v>
      </c>
      <c r="AR14" s="10"/>
      <c r="AS14" s="1"/>
      <c r="AT14" s="1"/>
      <c r="AU14" s="1"/>
      <c r="AV14" s="3" t="s">
        <v>252</v>
      </c>
      <c r="AW14" s="19" t="s">
        <v>309</v>
      </c>
      <c r="AY14" s="62">
        <f t="shared" si="0"/>
        <v>44506</v>
      </c>
      <c r="AZ14" s="62">
        <f t="shared" si="2"/>
        <v>17230</v>
      </c>
      <c r="BA14" s="62">
        <f>AQ14+AM14+AI14+AE14+AA14+W14+S14+O14+K14+G14</f>
        <v>44506</v>
      </c>
      <c r="BB14" s="71">
        <f t="shared" si="1"/>
        <v>61736</v>
      </c>
      <c r="BC14" s="68" t="s">
        <v>190</v>
      </c>
      <c r="BD14" t="s">
        <v>310</v>
      </c>
    </row>
    <row r="15" spans="1:56" ht="77.25" customHeight="1">
      <c r="A15" s="18">
        <v>14</v>
      </c>
      <c r="B15" s="46" t="s">
        <v>42</v>
      </c>
      <c r="C15" s="2" t="s">
        <v>43</v>
      </c>
      <c r="D15" s="5"/>
      <c r="E15" s="3" t="s">
        <v>311</v>
      </c>
      <c r="F15" s="3" t="s">
        <v>176</v>
      </c>
      <c r="G15" s="10">
        <v>11428</v>
      </c>
      <c r="H15" s="1">
        <v>11313</v>
      </c>
      <c r="I15" s="52" t="s">
        <v>312</v>
      </c>
      <c r="J15" s="11" t="s">
        <v>313</v>
      </c>
      <c r="K15" s="10">
        <v>1127</v>
      </c>
      <c r="L15" s="35">
        <v>1184</v>
      </c>
      <c r="M15" s="52" t="s">
        <v>314</v>
      </c>
      <c r="N15" s="1" t="s">
        <v>315</v>
      </c>
      <c r="O15" s="10">
        <v>1152</v>
      </c>
      <c r="P15" s="10">
        <v>1188</v>
      </c>
      <c r="Q15" s="52" t="s">
        <v>316</v>
      </c>
      <c r="R15" s="1" t="s">
        <v>317</v>
      </c>
      <c r="S15" s="1">
        <v>821</v>
      </c>
      <c r="T15" s="1">
        <v>928</v>
      </c>
      <c r="U15" s="52" t="s">
        <v>318</v>
      </c>
      <c r="V15" s="1" t="s">
        <v>319</v>
      </c>
      <c r="W15" s="10">
        <v>20770</v>
      </c>
      <c r="X15" s="69"/>
      <c r="Y15" s="35" t="s">
        <v>164</v>
      </c>
      <c r="Z15" s="1" t="s">
        <v>320</v>
      </c>
      <c r="AA15" s="1">
        <v>393</v>
      </c>
      <c r="AB15" s="1">
        <v>469</v>
      </c>
      <c r="AC15" s="52" t="s">
        <v>321</v>
      </c>
      <c r="AD15" s="1" t="s">
        <v>322</v>
      </c>
      <c r="AE15" s="1">
        <v>363</v>
      </c>
      <c r="AF15" s="1">
        <v>364</v>
      </c>
      <c r="AG15" s="52" t="s">
        <v>323</v>
      </c>
      <c r="AH15" s="1" t="s">
        <v>324</v>
      </c>
      <c r="AI15" s="1">
        <v>931</v>
      </c>
      <c r="AJ15" s="1">
        <v>924</v>
      </c>
      <c r="AK15" s="52" t="s">
        <v>325</v>
      </c>
      <c r="AL15" s="1" t="s">
        <v>326</v>
      </c>
      <c r="AM15" s="10">
        <v>20338</v>
      </c>
      <c r="AN15" s="10"/>
      <c r="AO15" s="72" t="s">
        <v>164</v>
      </c>
      <c r="AP15" s="1"/>
      <c r="AQ15" s="1"/>
      <c r="AR15" s="1"/>
      <c r="AS15" s="1"/>
      <c r="AT15" s="1"/>
      <c r="AU15" s="1"/>
      <c r="AV15" s="3" t="s">
        <v>274</v>
      </c>
      <c r="AW15" s="19" t="s">
        <v>327</v>
      </c>
      <c r="AY15" s="62">
        <f t="shared" si="0"/>
        <v>57323</v>
      </c>
      <c r="AZ15" s="62">
        <f t="shared" si="2"/>
        <v>16370</v>
      </c>
      <c r="BA15" s="10">
        <v>20770</v>
      </c>
      <c r="BB15" s="71">
        <f t="shared" si="1"/>
        <v>37140</v>
      </c>
      <c r="BC15" s="61"/>
    </row>
    <row r="16" spans="1:56" ht="77.25" customHeight="1">
      <c r="A16" s="18">
        <v>15</v>
      </c>
      <c r="B16" s="46" t="s">
        <v>42</v>
      </c>
      <c r="C16" s="2" t="s">
        <v>43</v>
      </c>
      <c r="D16" s="5" t="s">
        <v>44</v>
      </c>
      <c r="E16" s="3" t="s">
        <v>328</v>
      </c>
      <c r="F16" s="3" t="s">
        <v>69</v>
      </c>
      <c r="G16" s="10">
        <v>19644</v>
      </c>
      <c r="H16" s="1">
        <v>19455</v>
      </c>
      <c r="I16" s="52" t="s">
        <v>329</v>
      </c>
      <c r="J16" s="11" t="s">
        <v>330</v>
      </c>
      <c r="K16" s="1">
        <v>630</v>
      </c>
      <c r="L16" s="35">
        <v>688</v>
      </c>
      <c r="M16" s="52" t="s">
        <v>331</v>
      </c>
      <c r="N16" s="1" t="s">
        <v>332</v>
      </c>
      <c r="O16" s="1">
        <v>921</v>
      </c>
      <c r="P16" s="1">
        <v>986</v>
      </c>
      <c r="Q16" s="52" t="s">
        <v>333</v>
      </c>
      <c r="R16" s="1" t="s">
        <v>334</v>
      </c>
      <c r="S16" s="1">
        <v>803</v>
      </c>
      <c r="T16" s="1">
        <v>868</v>
      </c>
      <c r="U16" s="52" t="s">
        <v>335</v>
      </c>
      <c r="V16" s="1" t="s">
        <v>336</v>
      </c>
      <c r="W16" s="10">
        <v>1004</v>
      </c>
      <c r="X16" s="10">
        <v>1055</v>
      </c>
      <c r="Y16" s="52" t="s">
        <v>337</v>
      </c>
      <c r="Z16" s="1" t="s">
        <v>338</v>
      </c>
      <c r="AA16" s="10">
        <v>1552</v>
      </c>
      <c r="AB16" s="10">
        <v>1559</v>
      </c>
      <c r="AC16" s="52" t="s">
        <v>339</v>
      </c>
      <c r="AD16" s="1" t="s">
        <v>340</v>
      </c>
      <c r="AE16" s="1">
        <v>702</v>
      </c>
      <c r="AF16" s="1">
        <v>755</v>
      </c>
      <c r="AG16" s="52" t="s">
        <v>341</v>
      </c>
      <c r="AH16" s="1" t="s">
        <v>342</v>
      </c>
      <c r="AI16" s="10">
        <v>1502</v>
      </c>
      <c r="AJ16" s="10">
        <v>1557</v>
      </c>
      <c r="AK16" s="52" t="s">
        <v>343</v>
      </c>
      <c r="AL16" s="1" t="s">
        <v>344</v>
      </c>
      <c r="AM16" s="10">
        <v>21778</v>
      </c>
      <c r="AN16" s="10">
        <v>21748</v>
      </c>
      <c r="AO16" s="53" t="s">
        <v>345</v>
      </c>
      <c r="AP16" s="1"/>
      <c r="AQ16" s="1"/>
      <c r="AR16" s="1"/>
      <c r="AS16" s="1"/>
      <c r="AT16" s="1"/>
      <c r="AU16" s="1"/>
      <c r="AV16" s="3" t="s">
        <v>346</v>
      </c>
      <c r="AW16" s="19" t="s">
        <v>347</v>
      </c>
      <c r="AY16" s="62">
        <f t="shared" si="0"/>
        <v>48536</v>
      </c>
      <c r="AZ16" s="62">
        <f t="shared" si="2"/>
        <v>48671</v>
      </c>
      <c r="BA16" s="62"/>
      <c r="BB16" s="71">
        <f t="shared" si="1"/>
        <v>48671</v>
      </c>
      <c r="BC16" s="61"/>
    </row>
    <row r="17" spans="1:55" ht="77.25" customHeight="1">
      <c r="A17" s="18">
        <v>16</v>
      </c>
      <c r="B17" s="46" t="s">
        <v>42</v>
      </c>
      <c r="C17" s="2" t="s">
        <v>43</v>
      </c>
      <c r="D17" s="5" t="s">
        <v>348</v>
      </c>
      <c r="E17" s="3" t="s">
        <v>349</v>
      </c>
      <c r="F17" s="3" t="s">
        <v>66</v>
      </c>
      <c r="G17" s="17">
        <v>9274</v>
      </c>
      <c r="H17" s="70"/>
      <c r="I17" s="35" t="s">
        <v>164</v>
      </c>
      <c r="J17" s="11" t="s">
        <v>350</v>
      </c>
      <c r="K17" s="10">
        <v>8965</v>
      </c>
      <c r="L17" s="35">
        <v>9079</v>
      </c>
      <c r="M17" s="52" t="s">
        <v>351</v>
      </c>
      <c r="N17" s="1" t="s">
        <v>352</v>
      </c>
      <c r="O17" s="10">
        <v>2298</v>
      </c>
      <c r="P17" s="10">
        <v>2370</v>
      </c>
      <c r="Q17" s="52" t="s">
        <v>353</v>
      </c>
      <c r="R17" s="1" t="s">
        <v>354</v>
      </c>
      <c r="S17" s="10">
        <v>1030</v>
      </c>
      <c r="T17" s="10">
        <v>1125</v>
      </c>
      <c r="U17" s="52" t="s">
        <v>355</v>
      </c>
      <c r="V17" s="1" t="s">
        <v>356</v>
      </c>
      <c r="W17" s="1">
        <v>833</v>
      </c>
      <c r="X17" s="1">
        <v>1936</v>
      </c>
      <c r="Y17" s="52" t="s">
        <v>357</v>
      </c>
      <c r="Z17" s="1" t="s">
        <v>358</v>
      </c>
      <c r="AA17" s="10">
        <v>1009</v>
      </c>
      <c r="AB17" s="10">
        <v>1109</v>
      </c>
      <c r="AC17" s="52" t="s">
        <v>359</v>
      </c>
      <c r="AD17" s="1" t="s">
        <v>360</v>
      </c>
      <c r="AE17" s="10">
        <v>1725</v>
      </c>
      <c r="AF17" s="10">
        <v>2071</v>
      </c>
      <c r="AG17" s="52" t="s">
        <v>361</v>
      </c>
      <c r="AH17" s="1" t="s">
        <v>362</v>
      </c>
      <c r="AI17" s="10">
        <v>1811</v>
      </c>
      <c r="AJ17" s="10">
        <v>2073</v>
      </c>
      <c r="AK17" s="52" t="s">
        <v>363</v>
      </c>
      <c r="AL17" s="1" t="s">
        <v>364</v>
      </c>
      <c r="AM17" s="17">
        <v>8141</v>
      </c>
      <c r="AN17" s="17">
        <v>9079</v>
      </c>
      <c r="AO17" s="53" t="s">
        <v>365</v>
      </c>
      <c r="AP17" s="1"/>
      <c r="AQ17" s="1"/>
      <c r="AR17" s="1"/>
      <c r="AS17" s="1"/>
      <c r="AT17" s="1"/>
      <c r="AU17" s="1"/>
      <c r="AV17" s="3" t="s">
        <v>133</v>
      </c>
      <c r="AW17" s="20" t="s">
        <v>366</v>
      </c>
      <c r="AY17" s="62">
        <f t="shared" si="0"/>
        <v>35086</v>
      </c>
      <c r="AZ17" s="62">
        <f t="shared" si="2"/>
        <v>28842</v>
      </c>
      <c r="BA17" s="17">
        <v>9274</v>
      </c>
      <c r="BB17" s="71">
        <f t="shared" si="1"/>
        <v>38116</v>
      </c>
      <c r="BC17" s="61"/>
    </row>
    <row r="18" spans="1:55" ht="77.25" customHeight="1">
      <c r="A18" s="18">
        <v>17</v>
      </c>
      <c r="B18" s="46" t="s">
        <v>42</v>
      </c>
      <c r="C18" s="2" t="s">
        <v>43</v>
      </c>
      <c r="D18" s="5" t="s">
        <v>367</v>
      </c>
      <c r="E18" s="3" t="s">
        <v>368</v>
      </c>
      <c r="F18" s="3" t="s">
        <v>369</v>
      </c>
      <c r="G18" s="17">
        <v>21707</v>
      </c>
      <c r="H18" s="12">
        <v>21748</v>
      </c>
      <c r="I18" s="52" t="s">
        <v>370</v>
      </c>
      <c r="J18" s="11" t="s">
        <v>371</v>
      </c>
      <c r="K18" s="10">
        <v>2469</v>
      </c>
      <c r="L18" s="35">
        <v>2434</v>
      </c>
      <c r="M18" s="52" t="s">
        <v>372</v>
      </c>
      <c r="N18" s="1" t="s">
        <v>373</v>
      </c>
      <c r="O18" s="1">
        <v>899</v>
      </c>
      <c r="P18" s="1">
        <v>854</v>
      </c>
      <c r="Q18" s="52" t="s">
        <v>374</v>
      </c>
      <c r="R18" s="1" t="s">
        <v>375</v>
      </c>
      <c r="S18" s="1">
        <v>445</v>
      </c>
      <c r="T18" s="1">
        <v>417</v>
      </c>
      <c r="U18" s="52" t="s">
        <v>376</v>
      </c>
      <c r="V18" s="1" t="s">
        <v>377</v>
      </c>
      <c r="W18" s="10">
        <v>11889</v>
      </c>
      <c r="X18" s="10">
        <v>11924</v>
      </c>
      <c r="Y18" s="52" t="s">
        <v>378</v>
      </c>
      <c r="Z18" s="1" t="s">
        <v>379</v>
      </c>
      <c r="AA18" s="1">
        <v>171</v>
      </c>
      <c r="AB18" s="1">
        <v>299</v>
      </c>
      <c r="AC18" s="52" t="s">
        <v>380</v>
      </c>
      <c r="AD18" s="12" t="s">
        <v>381</v>
      </c>
      <c r="AE18" s="1">
        <v>480</v>
      </c>
      <c r="AF18" s="1">
        <v>469</v>
      </c>
      <c r="AG18" s="52" t="s">
        <v>382</v>
      </c>
      <c r="AH18" s="1" t="s">
        <v>383</v>
      </c>
      <c r="AI18" s="1">
        <v>291</v>
      </c>
      <c r="AJ18" s="1">
        <v>313</v>
      </c>
      <c r="AK18" s="52" t="s">
        <v>384</v>
      </c>
      <c r="AL18" s="1" t="s">
        <v>385</v>
      </c>
      <c r="AM18" s="10">
        <v>20914</v>
      </c>
      <c r="AN18" s="10">
        <v>21748</v>
      </c>
      <c r="AO18" s="52" t="s">
        <v>386</v>
      </c>
      <c r="AP18" s="1"/>
      <c r="AQ18" s="1"/>
      <c r="AR18" s="1"/>
      <c r="AS18" s="1"/>
      <c r="AT18" s="1"/>
      <c r="AU18" s="1"/>
      <c r="AV18" s="3" t="s">
        <v>155</v>
      </c>
      <c r="AW18" s="20" t="s">
        <v>387</v>
      </c>
      <c r="AY18" s="62">
        <f t="shared" si="0"/>
        <v>59265</v>
      </c>
      <c r="AZ18" s="62">
        <f t="shared" si="2"/>
        <v>60206</v>
      </c>
      <c r="BA18" s="62"/>
      <c r="BB18" s="71">
        <f t="shared" si="1"/>
        <v>60206</v>
      </c>
      <c r="BC18" s="61"/>
    </row>
    <row r="19" spans="1:55" ht="77.25" customHeight="1">
      <c r="A19" s="18">
        <v>18</v>
      </c>
      <c r="B19" s="46" t="s">
        <v>42</v>
      </c>
      <c r="C19" s="2" t="s">
        <v>43</v>
      </c>
      <c r="D19" s="5"/>
      <c r="E19" s="3" t="s">
        <v>388</v>
      </c>
      <c r="F19" s="3" t="s">
        <v>389</v>
      </c>
      <c r="G19" s="17">
        <v>22012</v>
      </c>
      <c r="H19" s="12">
        <v>21824</v>
      </c>
      <c r="I19" s="52" t="s">
        <v>390</v>
      </c>
      <c r="J19" s="11" t="s">
        <v>391</v>
      </c>
      <c r="K19" s="1">
        <v>466</v>
      </c>
      <c r="L19" s="35">
        <v>539</v>
      </c>
      <c r="M19" s="52" t="s">
        <v>392</v>
      </c>
      <c r="N19" s="1" t="s">
        <v>393</v>
      </c>
      <c r="O19" s="10">
        <v>1134</v>
      </c>
      <c r="P19" s="10">
        <v>1283</v>
      </c>
      <c r="Q19" s="52" t="s">
        <v>394</v>
      </c>
      <c r="R19" s="1" t="s">
        <v>395</v>
      </c>
      <c r="S19" s="1">
        <v>252</v>
      </c>
      <c r="T19" s="1">
        <v>317</v>
      </c>
      <c r="U19" s="52" t="s">
        <v>396</v>
      </c>
      <c r="V19" s="1" t="s">
        <v>397</v>
      </c>
      <c r="W19" s="10">
        <v>3427</v>
      </c>
      <c r="X19" s="10">
        <v>4026</v>
      </c>
      <c r="Y19" s="52" t="s">
        <v>398</v>
      </c>
      <c r="Z19" s="12" t="s">
        <v>399</v>
      </c>
      <c r="AA19" s="10">
        <v>1277</v>
      </c>
      <c r="AB19" s="10">
        <v>1444</v>
      </c>
      <c r="AC19" s="52" t="s">
        <v>400</v>
      </c>
      <c r="AD19" s="1" t="s">
        <v>401</v>
      </c>
      <c r="AE19" s="1">
        <v>969</v>
      </c>
      <c r="AF19" s="1">
        <v>509</v>
      </c>
      <c r="AG19" s="52" t="s">
        <v>402</v>
      </c>
      <c r="AH19" s="1" t="s">
        <v>403</v>
      </c>
      <c r="AI19" s="1">
        <v>550</v>
      </c>
      <c r="AJ19" s="1">
        <v>918</v>
      </c>
      <c r="AK19" s="52" t="s">
        <v>404</v>
      </c>
      <c r="AL19" s="1" t="s">
        <v>405</v>
      </c>
      <c r="AM19" s="17">
        <v>8671</v>
      </c>
      <c r="AN19" s="17">
        <v>8642</v>
      </c>
      <c r="AO19" s="52" t="s">
        <v>406</v>
      </c>
      <c r="AP19" s="1"/>
      <c r="AQ19" s="1"/>
      <c r="AR19" s="1"/>
      <c r="AS19" s="1"/>
      <c r="AT19" s="1"/>
      <c r="AU19" s="1"/>
      <c r="AV19" s="3" t="s">
        <v>407</v>
      </c>
      <c r="AW19" s="20" t="s">
        <v>408</v>
      </c>
      <c r="AY19" s="62">
        <f t="shared" si="0"/>
        <v>38758</v>
      </c>
      <c r="AZ19" s="62">
        <f t="shared" si="2"/>
        <v>39502</v>
      </c>
      <c r="BA19" s="62"/>
      <c r="BB19" s="71">
        <f t="shared" si="1"/>
        <v>39502</v>
      </c>
      <c r="BC19" s="61"/>
    </row>
    <row r="20" spans="1:55" ht="77.25" customHeight="1">
      <c r="A20" s="18">
        <v>19</v>
      </c>
      <c r="B20" s="46" t="s">
        <v>42</v>
      </c>
      <c r="C20" s="2" t="s">
        <v>43</v>
      </c>
      <c r="D20" s="5" t="s">
        <v>109</v>
      </c>
      <c r="E20" s="3" t="s">
        <v>409</v>
      </c>
      <c r="F20" s="3" t="s">
        <v>111</v>
      </c>
      <c r="G20" s="17">
        <v>28470</v>
      </c>
      <c r="H20" s="12">
        <v>28016</v>
      </c>
      <c r="I20" s="52" t="s">
        <v>410</v>
      </c>
      <c r="J20" s="1" t="s">
        <v>411</v>
      </c>
      <c r="K20" s="1">
        <v>460</v>
      </c>
      <c r="L20" s="35">
        <v>548</v>
      </c>
      <c r="M20" s="52" t="s">
        <v>412</v>
      </c>
      <c r="N20" s="1" t="s">
        <v>413</v>
      </c>
      <c r="O20" s="10">
        <v>1393</v>
      </c>
      <c r="P20" s="10">
        <v>1563</v>
      </c>
      <c r="Q20" s="52" t="s">
        <v>414</v>
      </c>
      <c r="R20" s="1" t="s">
        <v>415</v>
      </c>
      <c r="S20" s="10">
        <v>2166</v>
      </c>
      <c r="T20" s="10">
        <v>2165</v>
      </c>
      <c r="U20" s="52" t="s">
        <v>416</v>
      </c>
      <c r="V20" s="1" t="s">
        <v>417</v>
      </c>
      <c r="W20" s="10">
        <v>2076</v>
      </c>
      <c r="X20" s="10">
        <v>2098</v>
      </c>
      <c r="Y20" s="52" t="s">
        <v>418</v>
      </c>
      <c r="Z20" s="1" t="s">
        <v>419</v>
      </c>
      <c r="AA20" s="10">
        <v>3032</v>
      </c>
      <c r="AB20" s="10">
        <v>3200</v>
      </c>
      <c r="AC20" s="52" t="s">
        <v>420</v>
      </c>
      <c r="AD20" s="1" t="s">
        <v>421</v>
      </c>
      <c r="AE20" s="1">
        <v>455</v>
      </c>
      <c r="AF20" s="1">
        <v>435</v>
      </c>
      <c r="AG20" s="52" t="s">
        <v>422</v>
      </c>
      <c r="AH20" s="1" t="s">
        <v>423</v>
      </c>
      <c r="AI20" s="1">
        <v>380</v>
      </c>
      <c r="AJ20" s="1">
        <v>467</v>
      </c>
      <c r="AK20" s="52" t="s">
        <v>424</v>
      </c>
      <c r="AL20" s="1" t="s">
        <v>425</v>
      </c>
      <c r="AM20" s="17">
        <v>38592</v>
      </c>
      <c r="AN20" s="17">
        <v>38552</v>
      </c>
      <c r="AO20" s="52" t="s">
        <v>426</v>
      </c>
      <c r="AP20" s="1"/>
      <c r="AQ20" s="1"/>
      <c r="AR20" s="1"/>
      <c r="AS20" s="1"/>
      <c r="AT20" s="1"/>
      <c r="AU20" s="12"/>
      <c r="AV20" s="3" t="s">
        <v>427</v>
      </c>
      <c r="AW20" s="20" t="s">
        <v>428</v>
      </c>
      <c r="AY20" s="62">
        <f t="shared" si="0"/>
        <v>77024</v>
      </c>
      <c r="AZ20" s="62">
        <f t="shared" si="2"/>
        <v>77044</v>
      </c>
      <c r="BA20" s="62"/>
      <c r="BB20" s="71">
        <f t="shared" si="1"/>
        <v>77044</v>
      </c>
      <c r="BC20" s="61"/>
    </row>
    <row r="21" spans="1:55" ht="77.25" customHeight="1">
      <c r="A21" s="18">
        <v>20</v>
      </c>
      <c r="B21" s="46" t="s">
        <v>42</v>
      </c>
      <c r="C21" s="2" t="s">
        <v>43</v>
      </c>
      <c r="D21" s="5" t="s">
        <v>429</v>
      </c>
      <c r="E21" s="3" t="s">
        <v>430</v>
      </c>
      <c r="F21" s="3" t="s">
        <v>427</v>
      </c>
      <c r="G21" s="17">
        <v>30897</v>
      </c>
      <c r="H21" s="12">
        <v>32035</v>
      </c>
      <c r="I21" s="52" t="s">
        <v>431</v>
      </c>
      <c r="J21" s="1" t="s">
        <v>432</v>
      </c>
      <c r="K21" s="1">
        <v>515</v>
      </c>
      <c r="L21" s="35">
        <v>644</v>
      </c>
      <c r="M21" s="52" t="s">
        <v>433</v>
      </c>
      <c r="N21" s="1" t="s">
        <v>434</v>
      </c>
      <c r="O21" s="1">
        <v>110</v>
      </c>
      <c r="P21" s="1">
        <v>181</v>
      </c>
      <c r="Q21" s="52" t="s">
        <v>435</v>
      </c>
      <c r="R21" s="1" t="s">
        <v>436</v>
      </c>
      <c r="S21" s="1">
        <v>320</v>
      </c>
      <c r="T21" s="1">
        <v>417</v>
      </c>
      <c r="U21" s="52" t="s">
        <v>437</v>
      </c>
      <c r="V21" s="1" t="s">
        <v>438</v>
      </c>
      <c r="W21" s="10">
        <v>6510</v>
      </c>
      <c r="X21" s="10">
        <v>6585</v>
      </c>
      <c r="Y21" s="52" t="s">
        <v>439</v>
      </c>
      <c r="Z21" s="1" t="s">
        <v>440</v>
      </c>
      <c r="AA21" s="10">
        <v>3203</v>
      </c>
      <c r="AB21" s="10">
        <v>3196</v>
      </c>
      <c r="AC21" s="52" t="s">
        <v>441</v>
      </c>
      <c r="AD21" s="1" t="s">
        <v>442</v>
      </c>
      <c r="AE21" s="10">
        <v>1222</v>
      </c>
      <c r="AF21" s="10">
        <v>1239</v>
      </c>
      <c r="AG21" s="52" t="s">
        <v>443</v>
      </c>
      <c r="AH21" s="1" t="s">
        <v>444</v>
      </c>
      <c r="AI21" s="10">
        <v>23555</v>
      </c>
      <c r="AJ21" s="10">
        <v>23018</v>
      </c>
      <c r="AK21" s="52" t="s">
        <v>445</v>
      </c>
      <c r="AL21" s="1"/>
      <c r="AM21" s="12"/>
      <c r="AN21" s="12"/>
      <c r="AO21" s="36"/>
      <c r="AP21" s="1"/>
      <c r="AQ21" s="1"/>
      <c r="AR21" s="1"/>
      <c r="AS21" s="1"/>
      <c r="AT21" s="1"/>
      <c r="AU21" s="12"/>
      <c r="AV21" s="3" t="s">
        <v>155</v>
      </c>
      <c r="AW21" s="20" t="s">
        <v>446</v>
      </c>
      <c r="AY21" s="62">
        <f t="shared" si="0"/>
        <v>66332</v>
      </c>
      <c r="AZ21" s="62">
        <f t="shared" si="2"/>
        <v>67315</v>
      </c>
      <c r="BA21" s="62"/>
      <c r="BB21" s="71">
        <f t="shared" si="1"/>
        <v>67315</v>
      </c>
      <c r="BC21" s="61"/>
    </row>
    <row r="22" spans="1:55" ht="77.25" customHeight="1">
      <c r="A22" s="18">
        <v>21</v>
      </c>
      <c r="B22" s="46" t="s">
        <v>42</v>
      </c>
      <c r="C22" s="2" t="s">
        <v>43</v>
      </c>
      <c r="D22" s="5"/>
      <c r="E22" s="3" t="s">
        <v>447</v>
      </c>
      <c r="F22" s="3" t="s">
        <v>129</v>
      </c>
      <c r="G22" s="17">
        <v>27085</v>
      </c>
      <c r="H22" s="12">
        <v>26528</v>
      </c>
      <c r="I22" s="52" t="s">
        <v>448</v>
      </c>
      <c r="J22" s="1" t="s">
        <v>449</v>
      </c>
      <c r="K22" s="1">
        <v>922</v>
      </c>
      <c r="L22" s="35">
        <v>1033</v>
      </c>
      <c r="M22" s="52" t="s">
        <v>450</v>
      </c>
      <c r="N22" s="1" t="s">
        <v>451</v>
      </c>
      <c r="O22" s="1">
        <v>511</v>
      </c>
      <c r="P22" s="1">
        <v>640</v>
      </c>
      <c r="Q22" s="59" t="s">
        <v>452</v>
      </c>
      <c r="R22" s="1" t="s">
        <v>453</v>
      </c>
      <c r="S22" s="1">
        <v>738</v>
      </c>
      <c r="T22" s="1">
        <v>771</v>
      </c>
      <c r="U22" s="52" t="s">
        <v>454</v>
      </c>
      <c r="V22" s="1" t="s">
        <v>455</v>
      </c>
      <c r="W22" s="10">
        <v>4443</v>
      </c>
      <c r="X22" s="10">
        <v>4471</v>
      </c>
      <c r="Y22" s="52" t="s">
        <v>456</v>
      </c>
      <c r="Z22" s="1" t="s">
        <v>457</v>
      </c>
      <c r="AA22" s="10">
        <v>3058</v>
      </c>
      <c r="AB22" s="10">
        <v>3053</v>
      </c>
      <c r="AC22" s="52" t="s">
        <v>458</v>
      </c>
      <c r="AD22" s="1" t="s">
        <v>459</v>
      </c>
      <c r="AE22" s="1">
        <v>426</v>
      </c>
      <c r="AF22" s="1">
        <v>448</v>
      </c>
      <c r="AG22" s="52" t="s">
        <v>460</v>
      </c>
      <c r="AH22" s="1" t="s">
        <v>461</v>
      </c>
      <c r="AI22" s="10">
        <v>1972</v>
      </c>
      <c r="AJ22" s="10">
        <v>2056</v>
      </c>
      <c r="AK22" s="52" t="s">
        <v>462</v>
      </c>
      <c r="AL22" s="1" t="s">
        <v>463</v>
      </c>
      <c r="AM22" s="17">
        <v>11045</v>
      </c>
      <c r="AN22" s="17">
        <v>11133</v>
      </c>
      <c r="AO22" s="52" t="s">
        <v>464</v>
      </c>
      <c r="AP22" s="1"/>
      <c r="AQ22" s="1"/>
      <c r="AR22" s="1"/>
      <c r="AS22" s="1"/>
      <c r="AT22" s="1"/>
      <c r="AU22" s="12"/>
      <c r="AV22" s="3" t="s">
        <v>133</v>
      </c>
      <c r="AW22" s="20" t="s">
        <v>465</v>
      </c>
      <c r="AY22" s="62">
        <f t="shared" si="0"/>
        <v>50200</v>
      </c>
      <c r="AZ22" s="62">
        <f t="shared" si="2"/>
        <v>50133</v>
      </c>
      <c r="BA22" s="62"/>
      <c r="BB22" s="71">
        <f t="shared" si="1"/>
        <v>50133</v>
      </c>
      <c r="BC22" s="61"/>
    </row>
    <row r="23" spans="1:55" ht="77.25" customHeight="1">
      <c r="A23" s="21">
        <v>22</v>
      </c>
      <c r="B23" s="22" t="s">
        <v>42</v>
      </c>
      <c r="C23" s="23" t="s">
        <v>43</v>
      </c>
      <c r="D23" s="24" t="s">
        <v>466</v>
      </c>
      <c r="E23" s="25" t="s">
        <v>467</v>
      </c>
      <c r="F23" s="25" t="s">
        <v>468</v>
      </c>
      <c r="G23" s="33">
        <v>18512</v>
      </c>
      <c r="H23" s="26">
        <v>18348</v>
      </c>
      <c r="I23" s="58" t="s">
        <v>469</v>
      </c>
      <c r="J23" s="27" t="s">
        <v>470</v>
      </c>
      <c r="K23" s="27">
        <v>831</v>
      </c>
      <c r="L23" s="47">
        <v>932</v>
      </c>
      <c r="M23" s="58" t="s">
        <v>471</v>
      </c>
      <c r="N23" s="27" t="s">
        <v>472</v>
      </c>
      <c r="O23" s="27">
        <v>345</v>
      </c>
      <c r="P23" s="27">
        <v>387</v>
      </c>
      <c r="Q23" s="58" t="s">
        <v>473</v>
      </c>
      <c r="R23" s="27" t="s">
        <v>474</v>
      </c>
      <c r="S23" s="27">
        <v>688</v>
      </c>
      <c r="T23" s="27">
        <v>681</v>
      </c>
      <c r="U23" s="58" t="s">
        <v>475</v>
      </c>
      <c r="V23" s="27" t="s">
        <v>476</v>
      </c>
      <c r="W23" s="34">
        <v>4992</v>
      </c>
      <c r="X23" s="34">
        <v>5198</v>
      </c>
      <c r="Y23" s="58" t="s">
        <v>477</v>
      </c>
      <c r="Z23" s="27" t="s">
        <v>478</v>
      </c>
      <c r="AA23" s="34">
        <v>1703</v>
      </c>
      <c r="AB23" s="34">
        <v>1899</v>
      </c>
      <c r="AC23" s="58" t="s">
        <v>479</v>
      </c>
      <c r="AD23" s="27" t="s">
        <v>480</v>
      </c>
      <c r="AE23" s="34">
        <v>1262</v>
      </c>
      <c r="AF23" s="34">
        <v>1330</v>
      </c>
      <c r="AG23" s="58" t="s">
        <v>481</v>
      </c>
      <c r="AH23" s="27" t="s">
        <v>482</v>
      </c>
      <c r="AI23" s="34">
        <v>2365</v>
      </c>
      <c r="AJ23" s="34">
        <v>2436</v>
      </c>
      <c r="AK23" s="58" t="s">
        <v>483</v>
      </c>
      <c r="AL23" s="27" t="s">
        <v>484</v>
      </c>
      <c r="AM23" s="33">
        <v>20031</v>
      </c>
      <c r="AN23" s="33">
        <v>21822</v>
      </c>
      <c r="AO23" s="58" t="s">
        <v>485</v>
      </c>
      <c r="AP23" s="27"/>
      <c r="AQ23" s="27"/>
      <c r="AR23" s="27"/>
      <c r="AS23" s="27"/>
      <c r="AT23" s="27"/>
      <c r="AU23" s="26"/>
      <c r="AV23" s="25" t="s">
        <v>151</v>
      </c>
      <c r="AW23" s="28" t="s">
        <v>486</v>
      </c>
      <c r="AY23" s="62">
        <f t="shared" si="0"/>
        <v>50729</v>
      </c>
      <c r="AZ23" s="62">
        <f t="shared" si="2"/>
        <v>53033</v>
      </c>
      <c r="BA23" s="62"/>
      <c r="BB23" s="71">
        <f t="shared" si="1"/>
        <v>53033</v>
      </c>
      <c r="BC23" s="61"/>
    </row>
    <row r="24" spans="1:55" ht="14.25" customHeight="1">
      <c r="A24" s="13"/>
      <c r="B24" s="13"/>
      <c r="C24" s="13"/>
      <c r="D24" s="14"/>
      <c r="E24" s="13"/>
      <c r="F24" s="1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5"/>
      <c r="AP24" s="15"/>
      <c r="AQ24" s="15"/>
      <c r="AR24" s="15"/>
      <c r="AS24" s="15"/>
      <c r="AT24" s="15"/>
      <c r="AU24" s="15"/>
      <c r="AV24" s="16"/>
      <c r="AW24" s="13"/>
    </row>
    <row r="25" spans="1:55" ht="14.25" customHeight="1">
      <c r="A25" s="4"/>
      <c r="B25" s="4"/>
      <c r="C25" s="4"/>
      <c r="D25" s="7"/>
      <c r="E25" s="4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6"/>
      <c r="AP25" s="6"/>
      <c r="AQ25" s="6"/>
      <c r="AR25" s="6"/>
      <c r="AS25" s="6"/>
      <c r="AT25" s="6"/>
      <c r="AU25" s="6"/>
      <c r="AV25" s="8"/>
      <c r="AW25" s="4"/>
    </row>
    <row r="26" spans="1:55" ht="14.25" customHeight="1">
      <c r="A26" s="4"/>
      <c r="B26" s="4"/>
      <c r="C26" s="4"/>
      <c r="D26" s="7"/>
      <c r="E26" s="4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6"/>
      <c r="AP26" s="6"/>
      <c r="AQ26" s="6"/>
      <c r="AR26" s="6"/>
      <c r="AS26" s="6"/>
      <c r="AT26" s="6"/>
      <c r="AU26" s="6"/>
      <c r="AV26" s="8"/>
      <c r="AW26" s="4"/>
      <c r="AY26" s="49">
        <f>SUM(AY2:AY23)</f>
        <v>1072773</v>
      </c>
      <c r="AZ26" s="49">
        <f>SUM(AZ2:AZ23)</f>
        <v>1019738</v>
      </c>
      <c r="BA26" s="49">
        <f t="shared" ref="BA26:BB26" si="3">SUM(BA2:BA23)</f>
        <v>153540</v>
      </c>
      <c r="BB26" s="49">
        <f t="shared" si="3"/>
        <v>1173278</v>
      </c>
    </row>
    <row r="27" spans="1:55" ht="14.25" customHeight="1">
      <c r="A27" s="4"/>
      <c r="B27" s="4"/>
      <c r="C27" s="4"/>
      <c r="D27" s="7"/>
      <c r="E27" s="4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6"/>
      <c r="AP27" s="6"/>
      <c r="AQ27" s="6"/>
      <c r="AR27" s="6"/>
      <c r="AS27" s="6"/>
      <c r="AT27" s="6"/>
      <c r="AU27" s="6"/>
      <c r="AV27" s="8"/>
      <c r="AW27" s="4"/>
    </row>
    <row r="28" spans="1:55" ht="14.25" customHeight="1">
      <c r="A28" s="4"/>
      <c r="B28" s="4"/>
      <c r="C28" s="4"/>
      <c r="D28" s="7"/>
      <c r="E28" s="4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6"/>
      <c r="AP28" s="6"/>
      <c r="AQ28" s="6"/>
      <c r="AR28" s="6"/>
      <c r="AS28" s="6"/>
      <c r="AT28" s="6"/>
      <c r="AU28" s="6"/>
      <c r="AV28" s="8"/>
      <c r="AW28" s="4"/>
    </row>
    <row r="29" spans="1:55" ht="14.25" customHeight="1">
      <c r="A29" s="4"/>
      <c r="B29" s="4"/>
      <c r="C29" s="4"/>
      <c r="D29" s="7"/>
      <c r="E29" s="4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6"/>
      <c r="AP29" s="6"/>
      <c r="AQ29" s="6"/>
      <c r="AR29" s="6"/>
      <c r="AS29" s="6"/>
      <c r="AT29" s="6"/>
      <c r="AU29" s="6"/>
      <c r="AV29" s="8"/>
      <c r="AW29" s="4"/>
    </row>
    <row r="30" spans="1:55" ht="14.25" customHeight="1">
      <c r="A30" s="4"/>
      <c r="B30" s="4"/>
      <c r="C30" s="4"/>
      <c r="D30" s="7"/>
      <c r="E30" s="4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6"/>
      <c r="AP30" s="6"/>
      <c r="AQ30" s="6"/>
      <c r="AR30" s="6"/>
      <c r="AS30" s="6"/>
      <c r="AT30" s="6"/>
      <c r="AU30" s="6"/>
      <c r="AV30" s="8"/>
      <c r="AW30" s="4"/>
    </row>
    <row r="31" spans="1:55" ht="14.25" customHeight="1">
      <c r="A31" s="4"/>
      <c r="B31" s="4"/>
      <c r="C31" s="4"/>
      <c r="D31" s="7"/>
      <c r="E31" s="4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6"/>
      <c r="AP31" s="6"/>
      <c r="AQ31" s="6"/>
      <c r="AR31" s="6"/>
      <c r="AS31" s="6"/>
      <c r="AT31" s="6"/>
      <c r="AU31" s="6"/>
      <c r="AV31" s="8"/>
      <c r="AW31" s="4"/>
    </row>
    <row r="32" spans="1:55" ht="14.25" customHeight="1">
      <c r="A32" s="4"/>
      <c r="B32" s="4"/>
      <c r="C32" s="4"/>
      <c r="D32" s="7"/>
      <c r="E32" s="4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6"/>
      <c r="AP32" s="6"/>
      <c r="AQ32" s="6"/>
      <c r="AR32" s="6"/>
      <c r="AS32" s="6"/>
      <c r="AT32" s="6"/>
      <c r="AU32" s="6"/>
      <c r="AV32" s="8"/>
      <c r="AW32" s="4"/>
    </row>
    <row r="33" spans="1:49" ht="14.25" customHeight="1">
      <c r="A33" s="4"/>
      <c r="B33" s="4"/>
      <c r="C33" s="4"/>
      <c r="D33" s="7"/>
      <c r="E33" s="4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6"/>
      <c r="AP33" s="6"/>
      <c r="AQ33" s="6"/>
      <c r="AR33" s="6"/>
      <c r="AS33" s="6"/>
      <c r="AT33" s="6"/>
      <c r="AU33" s="6"/>
      <c r="AV33" s="8"/>
      <c r="AW33" s="4"/>
    </row>
    <row r="34" spans="1:49" ht="14.25" customHeight="1">
      <c r="A34" s="4"/>
      <c r="B34" s="4"/>
      <c r="C34" s="4"/>
      <c r="D34" s="7"/>
      <c r="E34" s="4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6"/>
      <c r="AP34" s="6"/>
      <c r="AQ34" s="6"/>
      <c r="AR34" s="6"/>
      <c r="AS34" s="6"/>
      <c r="AT34" s="6"/>
      <c r="AU34" s="6"/>
      <c r="AV34" s="8"/>
      <c r="AW34" s="4"/>
    </row>
    <row r="35" spans="1:49" ht="14.25" customHeight="1">
      <c r="A35" s="4"/>
      <c r="B35" s="4"/>
      <c r="C35" s="4"/>
      <c r="D35" s="7"/>
      <c r="E35" s="4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6"/>
      <c r="AP35" s="6"/>
      <c r="AQ35" s="6"/>
      <c r="AR35" s="6"/>
      <c r="AS35" s="6"/>
      <c r="AT35" s="6"/>
      <c r="AU35" s="6"/>
      <c r="AV35" s="8"/>
      <c r="AW35" s="4"/>
    </row>
    <row r="36" spans="1:49" ht="14.25" customHeight="1">
      <c r="A36" s="4"/>
      <c r="B36" s="4"/>
      <c r="C36" s="4"/>
      <c r="D36" s="7"/>
      <c r="E36" s="4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6"/>
      <c r="AP36" s="6"/>
      <c r="AQ36" s="6"/>
      <c r="AR36" s="6"/>
      <c r="AS36" s="6"/>
      <c r="AT36" s="6"/>
      <c r="AU36" s="6"/>
      <c r="AV36" s="8"/>
      <c r="AW36" s="4"/>
    </row>
    <row r="37" spans="1:49" ht="14.25" customHeight="1">
      <c r="A37" s="4"/>
      <c r="B37" s="4"/>
      <c r="C37" s="4"/>
      <c r="D37" s="7"/>
      <c r="E37" s="4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6"/>
      <c r="AP37" s="6"/>
      <c r="AQ37" s="6"/>
      <c r="AR37" s="6"/>
      <c r="AS37" s="6"/>
      <c r="AT37" s="6"/>
      <c r="AU37" s="6"/>
      <c r="AV37" s="8"/>
      <c r="AW37" s="4"/>
    </row>
    <row r="38" spans="1:49" ht="14.25" customHeight="1">
      <c r="A38" s="4"/>
      <c r="B38" s="4"/>
      <c r="C38" s="4"/>
      <c r="D38" s="7"/>
      <c r="E38" s="4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6"/>
      <c r="AP38" s="6"/>
      <c r="AQ38" s="6"/>
      <c r="AR38" s="6"/>
      <c r="AS38" s="6"/>
      <c r="AT38" s="6"/>
      <c r="AU38" s="6"/>
      <c r="AV38" s="8"/>
      <c r="AW38" s="4"/>
    </row>
    <row r="39" spans="1:49" ht="14.25" customHeight="1">
      <c r="A39" s="4"/>
      <c r="B39" s="4"/>
      <c r="C39" s="4"/>
      <c r="D39" s="7"/>
      <c r="E39" s="4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6"/>
      <c r="AP39" s="6"/>
      <c r="AQ39" s="6"/>
      <c r="AR39" s="6"/>
      <c r="AS39" s="6"/>
      <c r="AT39" s="6"/>
      <c r="AU39" s="6"/>
      <c r="AV39" s="8"/>
      <c r="AW39" s="4"/>
    </row>
    <row r="40" spans="1:49" ht="14.25" customHeight="1">
      <c r="A40" s="4"/>
      <c r="B40" s="4"/>
      <c r="C40" s="4"/>
      <c r="D40" s="7"/>
      <c r="E40" s="4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6"/>
      <c r="AP40" s="6"/>
      <c r="AQ40" s="6"/>
      <c r="AR40" s="6"/>
      <c r="AS40" s="6"/>
      <c r="AT40" s="6"/>
      <c r="AU40" s="6"/>
      <c r="AV40" s="8"/>
      <c r="AW40" s="4"/>
    </row>
    <row r="41" spans="1:49" ht="14.25" customHeight="1">
      <c r="A41" s="4"/>
      <c r="B41" s="4"/>
      <c r="C41" s="4"/>
      <c r="D41" s="7"/>
      <c r="E41" s="4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6"/>
      <c r="AP41" s="6"/>
      <c r="AQ41" s="6"/>
      <c r="AR41" s="6"/>
      <c r="AS41" s="6"/>
      <c r="AT41" s="6"/>
      <c r="AU41" s="6"/>
      <c r="AV41" s="8"/>
      <c r="AW41" s="4"/>
    </row>
    <row r="42" spans="1:49" ht="14.25" customHeight="1">
      <c r="A42" s="4"/>
      <c r="B42" s="4"/>
      <c r="C42" s="4"/>
      <c r="D42" s="7"/>
      <c r="E42" s="4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6"/>
      <c r="AP42" s="6"/>
      <c r="AQ42" s="6"/>
      <c r="AR42" s="6"/>
      <c r="AS42" s="6"/>
      <c r="AT42" s="6"/>
      <c r="AU42" s="6"/>
      <c r="AV42" s="8"/>
      <c r="AW42" s="4"/>
    </row>
    <row r="43" spans="1:49" ht="14.25" customHeight="1">
      <c r="A43" s="4"/>
      <c r="B43" s="4"/>
      <c r="C43" s="4"/>
      <c r="D43" s="7"/>
      <c r="E43" s="4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6"/>
      <c r="AP43" s="6"/>
      <c r="AQ43" s="6"/>
      <c r="AR43" s="6"/>
      <c r="AS43" s="6"/>
      <c r="AT43" s="6"/>
      <c r="AU43" s="6"/>
      <c r="AV43" s="8"/>
      <c r="AW43" s="4"/>
    </row>
    <row r="44" spans="1:49" ht="14.25" customHeight="1">
      <c r="A44" s="4"/>
      <c r="B44" s="4"/>
      <c r="C44" s="4"/>
      <c r="D44" s="7"/>
      <c r="E44" s="4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6"/>
      <c r="AP44" s="6"/>
      <c r="AQ44" s="6"/>
      <c r="AR44" s="6"/>
      <c r="AS44" s="6"/>
      <c r="AT44" s="6"/>
      <c r="AU44" s="6"/>
      <c r="AV44" s="8"/>
      <c r="AW44" s="4"/>
    </row>
    <row r="45" spans="1:49" ht="14.25" customHeight="1">
      <c r="A45" s="4"/>
      <c r="B45" s="4"/>
      <c r="C45" s="4"/>
      <c r="D45" s="7"/>
      <c r="E45" s="4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6"/>
      <c r="AP45" s="6"/>
      <c r="AQ45" s="6"/>
      <c r="AR45" s="6"/>
      <c r="AS45" s="6"/>
      <c r="AT45" s="6"/>
      <c r="AU45" s="6"/>
      <c r="AV45" s="8"/>
      <c r="AW45" s="4"/>
    </row>
    <row r="46" spans="1:49" ht="14.25" customHeight="1">
      <c r="A46" s="4"/>
      <c r="B46" s="4"/>
      <c r="C46" s="4"/>
      <c r="D46" s="7"/>
      <c r="E46" s="4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6"/>
      <c r="AP46" s="6"/>
      <c r="AQ46" s="6"/>
      <c r="AR46" s="6"/>
      <c r="AS46" s="6"/>
      <c r="AT46" s="6"/>
      <c r="AU46" s="6"/>
      <c r="AV46" s="8"/>
      <c r="AW46" s="4"/>
    </row>
    <row r="47" spans="1:49" ht="14.25" customHeight="1">
      <c r="A47" s="4"/>
      <c r="B47" s="4"/>
      <c r="C47" s="4"/>
      <c r="D47" s="7"/>
      <c r="E47" s="4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6"/>
      <c r="AP47" s="6"/>
      <c r="AQ47" s="6"/>
      <c r="AR47" s="6"/>
      <c r="AS47" s="6"/>
      <c r="AT47" s="6"/>
      <c r="AU47" s="6"/>
      <c r="AV47" s="8"/>
      <c r="AW47" s="4"/>
    </row>
    <row r="48" spans="1:49" ht="14.25" customHeight="1">
      <c r="A48" s="4"/>
      <c r="B48" s="4"/>
      <c r="C48" s="4"/>
      <c r="D48" s="7"/>
      <c r="E48" s="4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6"/>
      <c r="AP48" s="6"/>
      <c r="AQ48" s="6"/>
      <c r="AR48" s="6"/>
      <c r="AS48" s="6"/>
      <c r="AT48" s="6"/>
      <c r="AU48" s="6"/>
      <c r="AV48" s="8"/>
      <c r="AW48" s="4"/>
    </row>
    <row r="49" spans="1:49" ht="14.25" customHeight="1">
      <c r="A49" s="4"/>
      <c r="B49" s="4"/>
      <c r="C49" s="4"/>
      <c r="D49" s="7"/>
      <c r="E49" s="4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6"/>
      <c r="AP49" s="6"/>
      <c r="AQ49" s="6"/>
      <c r="AR49" s="6"/>
      <c r="AS49" s="6"/>
      <c r="AT49" s="6"/>
      <c r="AU49" s="6"/>
      <c r="AV49" s="8"/>
      <c r="AW49" s="4"/>
    </row>
    <row r="50" spans="1:49" ht="14.25" customHeight="1">
      <c r="A50" s="4"/>
      <c r="B50" s="4"/>
      <c r="C50" s="4"/>
      <c r="D50" s="7"/>
      <c r="E50" s="4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6"/>
      <c r="AP50" s="6"/>
      <c r="AQ50" s="6"/>
      <c r="AR50" s="6"/>
      <c r="AS50" s="6"/>
      <c r="AT50" s="6"/>
      <c r="AU50" s="6"/>
      <c r="AV50" s="8"/>
      <c r="AW50" s="4"/>
    </row>
    <row r="51" spans="1:49" ht="14.25" customHeight="1">
      <c r="A51" s="4"/>
      <c r="B51" s="4"/>
      <c r="C51" s="4"/>
      <c r="D51" s="7"/>
      <c r="E51" s="4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6"/>
      <c r="AP51" s="6"/>
      <c r="AQ51" s="6"/>
      <c r="AR51" s="6"/>
      <c r="AS51" s="6"/>
      <c r="AT51" s="6"/>
      <c r="AU51" s="6"/>
      <c r="AV51" s="8"/>
      <c r="AW51" s="4"/>
    </row>
    <row r="52" spans="1:49" ht="14.25" customHeight="1">
      <c r="A52" s="4"/>
      <c r="B52" s="4"/>
      <c r="C52" s="4"/>
      <c r="D52" s="7"/>
      <c r="E52" s="4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6"/>
      <c r="AP52" s="6"/>
      <c r="AQ52" s="6"/>
      <c r="AR52" s="6"/>
      <c r="AS52" s="6"/>
      <c r="AT52" s="6"/>
      <c r="AU52" s="6"/>
      <c r="AV52" s="8"/>
      <c r="AW52" s="4"/>
    </row>
    <row r="53" spans="1:49" ht="14.25" customHeight="1">
      <c r="A53" s="4"/>
      <c r="B53" s="4"/>
      <c r="C53" s="4"/>
      <c r="D53" s="7"/>
      <c r="E53" s="4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6"/>
      <c r="AP53" s="6"/>
      <c r="AQ53" s="6"/>
      <c r="AR53" s="6"/>
      <c r="AS53" s="6"/>
      <c r="AT53" s="6"/>
      <c r="AU53" s="6"/>
      <c r="AV53" s="8"/>
      <c r="AW53" s="4"/>
    </row>
    <row r="54" spans="1:49" ht="14.25" customHeight="1">
      <c r="A54" s="4"/>
      <c r="B54" s="4"/>
      <c r="C54" s="4"/>
      <c r="D54" s="7"/>
      <c r="E54" s="4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6"/>
      <c r="AP54" s="6"/>
      <c r="AQ54" s="6"/>
      <c r="AR54" s="6"/>
      <c r="AS54" s="6"/>
      <c r="AT54" s="6"/>
      <c r="AU54" s="6"/>
      <c r="AV54" s="8"/>
      <c r="AW54" s="4"/>
    </row>
    <row r="55" spans="1:49" ht="14.25" customHeight="1">
      <c r="A55" s="4"/>
      <c r="B55" s="4"/>
      <c r="C55" s="4"/>
      <c r="D55" s="7"/>
      <c r="E55" s="4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6"/>
      <c r="AP55" s="6"/>
      <c r="AQ55" s="6"/>
      <c r="AR55" s="6"/>
      <c r="AS55" s="6"/>
      <c r="AT55" s="6"/>
      <c r="AU55" s="6"/>
      <c r="AV55" s="8"/>
      <c r="AW55" s="4"/>
    </row>
    <row r="56" spans="1:49" ht="14.25" customHeight="1">
      <c r="A56" s="4"/>
      <c r="B56" s="4"/>
      <c r="C56" s="4"/>
      <c r="D56" s="7"/>
      <c r="E56" s="4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6"/>
      <c r="AP56" s="6"/>
      <c r="AQ56" s="6"/>
      <c r="AR56" s="6"/>
      <c r="AS56" s="6"/>
      <c r="AT56" s="6"/>
      <c r="AU56" s="6"/>
      <c r="AV56" s="8"/>
      <c r="AW56" s="4"/>
    </row>
    <row r="57" spans="1:49" ht="14.25" customHeight="1">
      <c r="A57" s="4"/>
      <c r="B57" s="4"/>
      <c r="C57" s="4"/>
      <c r="D57" s="7"/>
      <c r="E57" s="4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6"/>
      <c r="AP57" s="6"/>
      <c r="AQ57" s="6"/>
      <c r="AR57" s="6"/>
      <c r="AS57" s="6"/>
      <c r="AT57" s="6"/>
      <c r="AU57" s="6"/>
      <c r="AV57" s="8"/>
      <c r="AW57" s="4"/>
    </row>
    <row r="58" spans="1:49" ht="14.25" customHeight="1">
      <c r="A58" s="4"/>
      <c r="B58" s="4"/>
      <c r="C58" s="4"/>
      <c r="D58" s="7"/>
      <c r="E58" s="4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6"/>
      <c r="AP58" s="6"/>
      <c r="AQ58" s="6"/>
      <c r="AR58" s="6"/>
      <c r="AS58" s="6"/>
      <c r="AT58" s="6"/>
      <c r="AU58" s="6"/>
      <c r="AV58" s="8"/>
      <c r="AW58" s="4"/>
    </row>
    <row r="59" spans="1:49" ht="14.25" customHeight="1">
      <c r="A59" s="4"/>
      <c r="B59" s="4"/>
      <c r="C59" s="4"/>
      <c r="D59" s="7"/>
      <c r="E59" s="4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6"/>
      <c r="AP59" s="6"/>
      <c r="AQ59" s="6"/>
      <c r="AR59" s="6"/>
      <c r="AS59" s="6"/>
      <c r="AT59" s="6"/>
      <c r="AU59" s="6"/>
      <c r="AV59" s="8"/>
      <c r="AW59" s="4"/>
    </row>
    <row r="60" spans="1:49" ht="14.25" customHeight="1">
      <c r="A60" s="4"/>
      <c r="B60" s="4"/>
      <c r="C60" s="4"/>
      <c r="D60" s="7"/>
      <c r="E60" s="4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6"/>
      <c r="AP60" s="6"/>
      <c r="AQ60" s="6"/>
      <c r="AR60" s="6"/>
      <c r="AS60" s="6"/>
      <c r="AT60" s="6"/>
      <c r="AU60" s="6"/>
      <c r="AV60" s="8"/>
      <c r="AW60" s="4"/>
    </row>
    <row r="61" spans="1:49" ht="14.25" customHeight="1">
      <c r="A61" s="4"/>
      <c r="B61" s="4"/>
      <c r="C61" s="4"/>
      <c r="D61" s="7"/>
      <c r="E61" s="4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6"/>
      <c r="AP61" s="6"/>
      <c r="AQ61" s="6"/>
      <c r="AR61" s="6"/>
      <c r="AS61" s="6"/>
      <c r="AT61" s="6"/>
      <c r="AU61" s="6"/>
      <c r="AV61" s="8"/>
      <c r="AW61" s="4"/>
    </row>
    <row r="62" spans="1:49" ht="14.25" customHeight="1">
      <c r="A62" s="4"/>
      <c r="B62" s="4"/>
      <c r="C62" s="4"/>
      <c r="D62" s="7"/>
      <c r="E62" s="4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6"/>
      <c r="AP62" s="6"/>
      <c r="AQ62" s="6"/>
      <c r="AR62" s="6"/>
      <c r="AS62" s="6"/>
      <c r="AT62" s="6"/>
      <c r="AU62" s="6"/>
      <c r="AV62" s="8"/>
      <c r="AW62" s="4"/>
    </row>
    <row r="63" spans="1:49" ht="14.25" customHeight="1">
      <c r="A63" s="4"/>
      <c r="B63" s="4"/>
      <c r="C63" s="4"/>
      <c r="D63" s="7"/>
      <c r="E63" s="4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6"/>
      <c r="AP63" s="6"/>
      <c r="AQ63" s="6"/>
      <c r="AR63" s="6"/>
      <c r="AS63" s="6"/>
      <c r="AT63" s="6"/>
      <c r="AU63" s="6"/>
      <c r="AV63" s="8"/>
      <c r="AW63" s="4"/>
    </row>
    <row r="64" spans="1:49" ht="14.25" customHeight="1">
      <c r="A64" s="4"/>
      <c r="B64" s="4"/>
      <c r="C64" s="4"/>
      <c r="D64" s="7"/>
      <c r="E64" s="4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6"/>
      <c r="AP64" s="6"/>
      <c r="AQ64" s="6"/>
      <c r="AR64" s="6"/>
      <c r="AS64" s="6"/>
      <c r="AT64" s="6"/>
      <c r="AU64" s="6"/>
      <c r="AV64" s="8"/>
      <c r="AW64" s="4"/>
    </row>
    <row r="65" spans="1:49" ht="14.25" customHeight="1">
      <c r="A65" s="4"/>
      <c r="B65" s="4"/>
      <c r="C65" s="4"/>
      <c r="D65" s="7"/>
      <c r="E65" s="4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6"/>
      <c r="AP65" s="6"/>
      <c r="AQ65" s="6"/>
      <c r="AR65" s="6"/>
      <c r="AS65" s="6"/>
      <c r="AT65" s="6"/>
      <c r="AU65" s="6"/>
      <c r="AV65" s="8"/>
      <c r="AW65" s="4"/>
    </row>
    <row r="66" spans="1:49" ht="14.25" customHeight="1">
      <c r="A66" s="4"/>
      <c r="B66" s="4"/>
      <c r="C66" s="4"/>
      <c r="D66" s="7"/>
      <c r="E66" s="4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6"/>
      <c r="AP66" s="6"/>
      <c r="AQ66" s="6"/>
      <c r="AR66" s="6"/>
      <c r="AS66" s="6"/>
      <c r="AT66" s="6"/>
      <c r="AU66" s="6"/>
      <c r="AV66" s="8"/>
      <c r="AW66" s="4"/>
    </row>
    <row r="67" spans="1:49" ht="14.25" customHeight="1">
      <c r="A67" s="4"/>
      <c r="B67" s="4"/>
      <c r="C67" s="4"/>
      <c r="D67" s="7"/>
      <c r="E67" s="4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6"/>
      <c r="AP67" s="6"/>
      <c r="AQ67" s="6"/>
      <c r="AR67" s="6"/>
      <c r="AS67" s="6"/>
      <c r="AT67" s="6"/>
      <c r="AU67" s="6"/>
      <c r="AV67" s="8"/>
      <c r="AW67" s="4"/>
    </row>
    <row r="68" spans="1:49" ht="14.25" customHeight="1">
      <c r="A68" s="4"/>
      <c r="B68" s="4"/>
      <c r="C68" s="4"/>
      <c r="D68" s="7"/>
      <c r="E68" s="4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6"/>
      <c r="AP68" s="6"/>
      <c r="AQ68" s="6"/>
      <c r="AR68" s="6"/>
      <c r="AS68" s="6"/>
      <c r="AT68" s="6"/>
      <c r="AU68" s="6"/>
      <c r="AV68" s="8"/>
      <c r="AW68" s="4"/>
    </row>
    <row r="69" spans="1:49" ht="14.25" customHeight="1">
      <c r="A69" s="4"/>
      <c r="B69" s="4"/>
      <c r="C69" s="4"/>
      <c r="D69" s="7"/>
      <c r="E69" s="4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6"/>
      <c r="AP69" s="6"/>
      <c r="AQ69" s="6"/>
      <c r="AR69" s="6"/>
      <c r="AS69" s="6"/>
      <c r="AT69" s="6"/>
      <c r="AU69" s="6"/>
      <c r="AV69" s="8"/>
      <c r="AW69" s="4"/>
    </row>
    <row r="70" spans="1:49" ht="14.25" customHeight="1">
      <c r="A70" s="4"/>
      <c r="B70" s="4"/>
      <c r="C70" s="4"/>
      <c r="D70" s="7"/>
      <c r="E70" s="4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6"/>
      <c r="AP70" s="6"/>
      <c r="AQ70" s="6"/>
      <c r="AR70" s="6"/>
      <c r="AS70" s="6"/>
      <c r="AT70" s="6"/>
      <c r="AU70" s="6"/>
      <c r="AV70" s="8"/>
      <c r="AW70" s="4"/>
    </row>
    <row r="71" spans="1:49" ht="14.25" customHeight="1">
      <c r="A71" s="4"/>
      <c r="B71" s="4"/>
      <c r="C71" s="4"/>
      <c r="D71" s="7"/>
      <c r="E71" s="4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6"/>
      <c r="AP71" s="6"/>
      <c r="AQ71" s="6"/>
      <c r="AR71" s="6"/>
      <c r="AS71" s="6"/>
      <c r="AT71" s="6"/>
      <c r="AU71" s="6"/>
      <c r="AV71" s="8"/>
      <c r="AW71" s="4"/>
    </row>
    <row r="72" spans="1:49" ht="14.25" customHeight="1">
      <c r="A72" s="4"/>
      <c r="B72" s="4"/>
      <c r="C72" s="4"/>
      <c r="D72" s="7"/>
      <c r="E72" s="4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6"/>
      <c r="AP72" s="6"/>
      <c r="AQ72" s="6"/>
      <c r="AR72" s="6"/>
      <c r="AS72" s="6"/>
      <c r="AT72" s="6"/>
      <c r="AU72" s="6"/>
      <c r="AV72" s="8"/>
      <c r="AW72" s="4"/>
    </row>
    <row r="73" spans="1:49" ht="14.25" customHeight="1">
      <c r="A73" s="4"/>
      <c r="B73" s="4"/>
      <c r="C73" s="4"/>
      <c r="D73" s="7"/>
      <c r="E73" s="4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6"/>
      <c r="AP73" s="6"/>
      <c r="AQ73" s="6"/>
      <c r="AR73" s="6"/>
      <c r="AS73" s="6"/>
      <c r="AT73" s="6"/>
      <c r="AU73" s="6"/>
      <c r="AV73" s="8"/>
      <c r="AW73" s="4"/>
    </row>
    <row r="74" spans="1:49" ht="14.25" customHeight="1">
      <c r="A74" s="4"/>
      <c r="B74" s="4"/>
      <c r="C74" s="4"/>
      <c r="D74" s="7"/>
      <c r="E74" s="4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6"/>
      <c r="AP74" s="6"/>
      <c r="AQ74" s="6"/>
      <c r="AR74" s="6"/>
      <c r="AS74" s="6"/>
      <c r="AT74" s="6"/>
      <c r="AU74" s="6"/>
      <c r="AV74" s="8"/>
      <c r="AW74" s="4"/>
    </row>
    <row r="75" spans="1:49" ht="14.25" customHeight="1">
      <c r="A75" s="4"/>
      <c r="B75" s="4"/>
      <c r="C75" s="4"/>
      <c r="D75" s="7"/>
      <c r="E75" s="4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6"/>
      <c r="AP75" s="6"/>
      <c r="AQ75" s="6"/>
      <c r="AR75" s="6"/>
      <c r="AS75" s="6"/>
      <c r="AT75" s="6"/>
      <c r="AU75" s="6"/>
      <c r="AV75" s="8"/>
      <c r="AW75" s="4"/>
    </row>
    <row r="76" spans="1:49" ht="14.25" customHeight="1">
      <c r="A76" s="4"/>
      <c r="B76" s="4"/>
      <c r="C76" s="4"/>
      <c r="D76" s="7"/>
      <c r="E76" s="4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6"/>
      <c r="AP76" s="6"/>
      <c r="AQ76" s="6"/>
      <c r="AR76" s="6"/>
      <c r="AS76" s="6"/>
      <c r="AT76" s="6"/>
      <c r="AU76" s="6"/>
      <c r="AV76" s="8"/>
      <c r="AW76" s="4"/>
    </row>
    <row r="77" spans="1:49" ht="14.25" customHeight="1">
      <c r="A77" s="4"/>
      <c r="B77" s="4"/>
      <c r="C77" s="4"/>
      <c r="D77" s="7"/>
      <c r="E77" s="4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6"/>
      <c r="AP77" s="6"/>
      <c r="AQ77" s="6"/>
      <c r="AR77" s="6"/>
      <c r="AS77" s="6"/>
      <c r="AT77" s="6"/>
      <c r="AU77" s="6"/>
      <c r="AV77" s="8"/>
      <c r="AW77" s="4"/>
    </row>
    <row r="78" spans="1:49" ht="14.25" customHeight="1">
      <c r="A78" s="4"/>
      <c r="B78" s="4"/>
      <c r="C78" s="4"/>
      <c r="D78" s="7"/>
      <c r="E78" s="4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6"/>
      <c r="AP78" s="6"/>
      <c r="AQ78" s="6"/>
      <c r="AR78" s="6"/>
      <c r="AS78" s="6"/>
      <c r="AT78" s="6"/>
      <c r="AU78" s="6"/>
      <c r="AV78" s="8"/>
      <c r="AW78" s="4"/>
    </row>
    <row r="79" spans="1:49" ht="14.25" customHeight="1">
      <c r="A79" s="4"/>
      <c r="B79" s="4"/>
      <c r="C79" s="4"/>
      <c r="D79" s="7"/>
      <c r="E79" s="4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6"/>
      <c r="AP79" s="6"/>
      <c r="AQ79" s="6"/>
      <c r="AR79" s="6"/>
      <c r="AS79" s="6"/>
      <c r="AT79" s="6"/>
      <c r="AU79" s="6"/>
      <c r="AV79" s="8"/>
      <c r="AW79" s="4"/>
    </row>
    <row r="80" spans="1:49" ht="14.25" customHeight="1">
      <c r="A80" s="4"/>
      <c r="B80" s="4"/>
      <c r="C80" s="4"/>
      <c r="D80" s="7"/>
      <c r="E80" s="4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6"/>
      <c r="AP80" s="6"/>
      <c r="AQ80" s="6"/>
      <c r="AR80" s="6"/>
      <c r="AS80" s="6"/>
      <c r="AT80" s="6"/>
      <c r="AU80" s="6"/>
      <c r="AV80" s="8"/>
      <c r="AW80" s="4"/>
    </row>
    <row r="81" spans="1:49" ht="14.25" customHeight="1">
      <c r="A81" s="4"/>
      <c r="B81" s="4"/>
      <c r="C81" s="4"/>
      <c r="D81" s="7"/>
      <c r="E81" s="4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6"/>
      <c r="AP81" s="6"/>
      <c r="AQ81" s="6"/>
      <c r="AR81" s="6"/>
      <c r="AS81" s="6"/>
      <c r="AT81" s="6"/>
      <c r="AU81" s="6"/>
      <c r="AV81" s="8"/>
      <c r="AW81" s="4"/>
    </row>
    <row r="82" spans="1:49" ht="14.25" customHeight="1">
      <c r="A82" s="4"/>
      <c r="B82" s="4"/>
      <c r="C82" s="4"/>
      <c r="D82" s="7"/>
      <c r="E82" s="4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6"/>
      <c r="AP82" s="6"/>
      <c r="AQ82" s="6"/>
      <c r="AR82" s="6"/>
      <c r="AS82" s="6"/>
      <c r="AT82" s="6"/>
      <c r="AU82" s="6"/>
      <c r="AV82" s="8"/>
      <c r="AW82" s="4"/>
    </row>
    <row r="83" spans="1:49" ht="14.25" customHeight="1">
      <c r="A83" s="4"/>
      <c r="B83" s="4"/>
      <c r="C83" s="4"/>
      <c r="D83" s="7"/>
      <c r="E83" s="4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6"/>
      <c r="AP83" s="6"/>
      <c r="AQ83" s="6"/>
      <c r="AR83" s="6"/>
      <c r="AS83" s="6"/>
      <c r="AT83" s="6"/>
      <c r="AU83" s="6"/>
      <c r="AV83" s="8"/>
      <c r="AW83" s="4"/>
    </row>
    <row r="84" spans="1:49" ht="14.25" customHeight="1">
      <c r="A84" s="4"/>
      <c r="B84" s="4"/>
      <c r="C84" s="4"/>
      <c r="D84" s="7"/>
      <c r="E84" s="4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6"/>
      <c r="AP84" s="6"/>
      <c r="AQ84" s="6"/>
      <c r="AR84" s="6"/>
      <c r="AS84" s="6"/>
      <c r="AT84" s="6"/>
      <c r="AU84" s="6"/>
      <c r="AV84" s="8"/>
      <c r="AW84" s="4"/>
    </row>
    <row r="85" spans="1:49" ht="14.25" customHeight="1">
      <c r="A85" s="4"/>
      <c r="B85" s="4"/>
      <c r="C85" s="4"/>
      <c r="D85" s="7"/>
      <c r="E85" s="4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6"/>
      <c r="AP85" s="6"/>
      <c r="AQ85" s="6"/>
      <c r="AR85" s="6"/>
      <c r="AS85" s="6"/>
      <c r="AT85" s="6"/>
      <c r="AU85" s="6"/>
      <c r="AV85" s="8"/>
      <c r="AW85" s="4"/>
    </row>
    <row r="86" spans="1:49" ht="14.25" customHeight="1">
      <c r="A86" s="4"/>
      <c r="B86" s="4"/>
      <c r="C86" s="4"/>
      <c r="D86" s="7"/>
      <c r="E86" s="4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6"/>
      <c r="AP86" s="6"/>
      <c r="AQ86" s="6"/>
      <c r="AR86" s="6"/>
      <c r="AS86" s="6"/>
      <c r="AT86" s="6"/>
      <c r="AU86" s="6"/>
      <c r="AV86" s="8"/>
      <c r="AW86" s="4"/>
    </row>
    <row r="87" spans="1:49" ht="14.25" customHeight="1">
      <c r="A87" s="4"/>
      <c r="B87" s="4"/>
      <c r="C87" s="4"/>
      <c r="D87" s="7"/>
      <c r="E87" s="4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6"/>
      <c r="AP87" s="6"/>
      <c r="AQ87" s="6"/>
      <c r="AR87" s="6"/>
      <c r="AS87" s="6"/>
      <c r="AT87" s="6"/>
      <c r="AU87" s="6"/>
      <c r="AV87" s="8"/>
      <c r="AW87" s="4"/>
    </row>
    <row r="88" spans="1:49" ht="14.25" customHeight="1">
      <c r="A88" s="4"/>
      <c r="B88" s="4"/>
      <c r="C88" s="4"/>
      <c r="D88" s="7"/>
      <c r="E88" s="4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6"/>
      <c r="AP88" s="6"/>
      <c r="AQ88" s="6"/>
      <c r="AR88" s="6"/>
      <c r="AS88" s="6"/>
      <c r="AT88" s="6"/>
      <c r="AU88" s="6"/>
      <c r="AV88" s="8"/>
      <c r="AW88" s="4"/>
    </row>
    <row r="89" spans="1:49" ht="14.25" customHeight="1">
      <c r="A89" s="4"/>
      <c r="B89" s="4"/>
      <c r="C89" s="4"/>
      <c r="D89" s="7"/>
      <c r="E89" s="4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6"/>
      <c r="AP89" s="6"/>
      <c r="AQ89" s="6"/>
      <c r="AR89" s="6"/>
      <c r="AS89" s="6"/>
      <c r="AT89" s="6"/>
      <c r="AU89" s="6"/>
      <c r="AV89" s="8"/>
      <c r="AW89" s="4"/>
    </row>
    <row r="90" spans="1:49" ht="14.25" customHeight="1">
      <c r="A90" s="4"/>
      <c r="B90" s="4"/>
      <c r="C90" s="4"/>
      <c r="D90" s="7"/>
      <c r="E90" s="4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6"/>
      <c r="AP90" s="6"/>
      <c r="AQ90" s="6"/>
      <c r="AR90" s="6"/>
      <c r="AS90" s="6"/>
      <c r="AT90" s="6"/>
      <c r="AU90" s="6"/>
      <c r="AV90" s="8"/>
      <c r="AW90" s="4"/>
    </row>
    <row r="91" spans="1:49" ht="14.25" customHeight="1">
      <c r="A91" s="4"/>
      <c r="B91" s="4"/>
      <c r="C91" s="4"/>
      <c r="D91" s="7"/>
      <c r="E91" s="4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6"/>
      <c r="AP91" s="6"/>
      <c r="AQ91" s="6"/>
      <c r="AR91" s="6"/>
      <c r="AS91" s="6"/>
      <c r="AT91" s="6"/>
      <c r="AU91" s="6"/>
      <c r="AV91" s="8"/>
      <c r="AW91" s="4"/>
    </row>
    <row r="92" spans="1:49" ht="14.25" customHeight="1">
      <c r="A92" s="4"/>
      <c r="B92" s="4"/>
      <c r="C92" s="4"/>
      <c r="D92" s="7"/>
      <c r="E92" s="4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6"/>
      <c r="AP92" s="6"/>
      <c r="AQ92" s="6"/>
      <c r="AR92" s="6"/>
      <c r="AS92" s="6"/>
      <c r="AT92" s="6"/>
      <c r="AU92" s="6"/>
      <c r="AV92" s="8"/>
      <c r="AW92" s="4"/>
    </row>
    <row r="93" spans="1:49" ht="14.25" customHeight="1">
      <c r="A93" s="4"/>
      <c r="B93" s="4"/>
      <c r="C93" s="4"/>
      <c r="D93" s="7"/>
      <c r="E93" s="4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6"/>
      <c r="AP93" s="6"/>
      <c r="AQ93" s="6"/>
      <c r="AR93" s="6"/>
      <c r="AS93" s="6"/>
      <c r="AT93" s="6"/>
      <c r="AU93" s="6"/>
      <c r="AV93" s="8"/>
      <c r="AW93" s="4"/>
    </row>
    <row r="94" spans="1:49" ht="14.25" customHeight="1">
      <c r="A94" s="4"/>
      <c r="B94" s="4"/>
      <c r="C94" s="4"/>
      <c r="D94" s="7"/>
      <c r="E94" s="4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6"/>
      <c r="AP94" s="6"/>
      <c r="AQ94" s="6"/>
      <c r="AR94" s="6"/>
      <c r="AS94" s="6"/>
      <c r="AT94" s="6"/>
      <c r="AU94" s="6"/>
      <c r="AV94" s="8"/>
      <c r="AW94" s="4"/>
    </row>
    <row r="95" spans="1:49" ht="14.25" customHeight="1">
      <c r="A95" s="4"/>
      <c r="B95" s="4"/>
      <c r="C95" s="4"/>
      <c r="D95" s="7"/>
      <c r="E95" s="4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6"/>
      <c r="AP95" s="6"/>
      <c r="AQ95" s="6"/>
      <c r="AR95" s="6"/>
      <c r="AS95" s="6"/>
      <c r="AT95" s="6"/>
      <c r="AU95" s="6"/>
      <c r="AV95" s="8"/>
      <c r="AW95" s="4"/>
    </row>
    <row r="96" spans="1:49" ht="14.25" customHeight="1">
      <c r="A96" s="4"/>
      <c r="B96" s="4"/>
      <c r="C96" s="4"/>
      <c r="D96" s="7"/>
      <c r="E96" s="4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6"/>
      <c r="AP96" s="6"/>
      <c r="AQ96" s="6"/>
      <c r="AR96" s="6"/>
      <c r="AS96" s="6"/>
      <c r="AT96" s="6"/>
      <c r="AU96" s="6"/>
      <c r="AV96" s="8"/>
      <c r="AW96" s="4"/>
    </row>
    <row r="97" spans="1:49" ht="14.25" customHeight="1">
      <c r="A97" s="4"/>
      <c r="B97" s="4"/>
      <c r="C97" s="4"/>
      <c r="D97" s="7"/>
      <c r="E97" s="4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6"/>
      <c r="AP97" s="6"/>
      <c r="AQ97" s="6"/>
      <c r="AR97" s="6"/>
      <c r="AS97" s="6"/>
      <c r="AT97" s="6"/>
      <c r="AU97" s="6"/>
      <c r="AV97" s="8"/>
      <c r="AW97" s="4"/>
    </row>
    <row r="98" spans="1:49" ht="14.25" customHeight="1">
      <c r="A98" s="4"/>
      <c r="B98" s="4"/>
      <c r="C98" s="4"/>
      <c r="D98" s="7"/>
      <c r="E98" s="4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6"/>
      <c r="AP98" s="6"/>
      <c r="AQ98" s="6"/>
      <c r="AR98" s="6"/>
      <c r="AS98" s="6"/>
      <c r="AT98" s="6"/>
      <c r="AU98" s="6"/>
      <c r="AV98" s="8"/>
      <c r="AW98" s="4"/>
    </row>
    <row r="99" spans="1:49" ht="14.25" customHeight="1">
      <c r="A99" s="4"/>
      <c r="B99" s="4"/>
      <c r="C99" s="4"/>
      <c r="D99" s="7"/>
      <c r="E99" s="4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6"/>
      <c r="AP99" s="6"/>
      <c r="AQ99" s="6"/>
      <c r="AR99" s="6"/>
      <c r="AS99" s="6"/>
      <c r="AT99" s="6"/>
      <c r="AU99" s="6"/>
      <c r="AV99" s="8"/>
      <c r="AW99" s="4"/>
    </row>
    <row r="100" spans="1:49" ht="14.25" customHeight="1">
      <c r="A100" s="4"/>
      <c r="B100" s="4"/>
      <c r="C100" s="4"/>
      <c r="D100" s="7"/>
      <c r="E100" s="4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6"/>
      <c r="AP100" s="6"/>
      <c r="AQ100" s="6"/>
      <c r="AR100" s="6"/>
      <c r="AS100" s="6"/>
      <c r="AT100" s="6"/>
      <c r="AU100" s="6"/>
      <c r="AV100" s="8"/>
      <c r="AW100" s="4"/>
    </row>
    <row r="101" spans="1:49" ht="14.25" customHeight="1">
      <c r="A101" s="4"/>
      <c r="B101" s="4"/>
      <c r="C101" s="4"/>
      <c r="D101" s="7"/>
      <c r="E101" s="4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6"/>
      <c r="AP101" s="6"/>
      <c r="AQ101" s="6"/>
      <c r="AR101" s="6"/>
      <c r="AS101" s="6"/>
      <c r="AT101" s="6"/>
      <c r="AU101" s="6"/>
      <c r="AV101" s="8"/>
      <c r="AW101" s="4"/>
    </row>
    <row r="102" spans="1:49" ht="14.25" customHeight="1">
      <c r="A102" s="4"/>
      <c r="B102" s="4"/>
      <c r="C102" s="4"/>
      <c r="D102" s="7"/>
      <c r="E102" s="4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6"/>
      <c r="AP102" s="6"/>
      <c r="AQ102" s="6"/>
      <c r="AR102" s="6"/>
      <c r="AS102" s="6"/>
      <c r="AT102" s="6"/>
      <c r="AU102" s="6"/>
      <c r="AV102" s="8"/>
      <c r="AW102" s="4"/>
    </row>
    <row r="103" spans="1:49" ht="14.25" customHeight="1">
      <c r="A103" s="4"/>
      <c r="B103" s="4"/>
      <c r="C103" s="4"/>
      <c r="D103" s="7"/>
      <c r="E103" s="4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6"/>
      <c r="AP103" s="6"/>
      <c r="AQ103" s="6"/>
      <c r="AR103" s="6"/>
      <c r="AS103" s="6"/>
      <c r="AT103" s="6"/>
      <c r="AU103" s="6"/>
      <c r="AV103" s="8"/>
      <c r="AW103" s="4"/>
    </row>
    <row r="104" spans="1:49" ht="14.25" customHeight="1">
      <c r="A104" s="4"/>
      <c r="B104" s="4"/>
      <c r="C104" s="4"/>
      <c r="D104" s="7"/>
      <c r="E104" s="4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6"/>
      <c r="AP104" s="6"/>
      <c r="AQ104" s="6"/>
      <c r="AR104" s="6"/>
      <c r="AS104" s="6"/>
      <c r="AT104" s="6"/>
      <c r="AU104" s="6"/>
      <c r="AV104" s="8"/>
      <c r="AW104" s="4"/>
    </row>
    <row r="105" spans="1:49" ht="14.25" customHeight="1">
      <c r="A105" s="4"/>
      <c r="B105" s="4"/>
      <c r="C105" s="4"/>
      <c r="D105" s="7"/>
      <c r="E105" s="4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6"/>
      <c r="AP105" s="6"/>
      <c r="AQ105" s="6"/>
      <c r="AR105" s="6"/>
      <c r="AS105" s="6"/>
      <c r="AT105" s="6"/>
      <c r="AU105" s="6"/>
      <c r="AV105" s="8"/>
      <c r="AW105" s="4"/>
    </row>
    <row r="106" spans="1:49" ht="14.25" customHeight="1">
      <c r="A106" s="4"/>
      <c r="B106" s="4"/>
      <c r="C106" s="4"/>
      <c r="D106" s="7"/>
      <c r="E106" s="4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6"/>
      <c r="AP106" s="6"/>
      <c r="AQ106" s="6"/>
      <c r="AR106" s="6"/>
      <c r="AS106" s="6"/>
      <c r="AT106" s="6"/>
      <c r="AU106" s="6"/>
      <c r="AV106" s="8"/>
      <c r="AW106" s="4"/>
    </row>
    <row r="107" spans="1:49" ht="14.25" customHeight="1">
      <c r="A107" s="4"/>
      <c r="B107" s="4"/>
      <c r="C107" s="4"/>
      <c r="D107" s="7"/>
      <c r="E107" s="4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6"/>
      <c r="AP107" s="6"/>
      <c r="AQ107" s="6"/>
      <c r="AR107" s="6"/>
      <c r="AS107" s="6"/>
      <c r="AT107" s="6"/>
      <c r="AU107" s="6"/>
      <c r="AV107" s="8"/>
      <c r="AW107" s="4"/>
    </row>
    <row r="108" spans="1:49" ht="14.25" customHeight="1">
      <c r="A108" s="4"/>
      <c r="B108" s="4"/>
      <c r="C108" s="4"/>
      <c r="D108" s="7"/>
      <c r="E108" s="4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6"/>
      <c r="AP108" s="6"/>
      <c r="AQ108" s="6"/>
      <c r="AR108" s="6"/>
      <c r="AS108" s="6"/>
      <c r="AT108" s="6"/>
      <c r="AU108" s="6"/>
      <c r="AV108" s="8"/>
      <c r="AW108" s="4"/>
    </row>
    <row r="109" spans="1:49" ht="14.25" customHeight="1">
      <c r="A109" s="4"/>
      <c r="B109" s="4"/>
      <c r="C109" s="4"/>
      <c r="D109" s="7"/>
      <c r="E109" s="4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6"/>
      <c r="AP109" s="6"/>
      <c r="AQ109" s="6"/>
      <c r="AR109" s="6"/>
      <c r="AS109" s="6"/>
      <c r="AT109" s="6"/>
      <c r="AU109" s="6"/>
      <c r="AV109" s="8"/>
      <c r="AW109" s="4"/>
    </row>
    <row r="110" spans="1:49" ht="14.25" customHeight="1">
      <c r="A110" s="4"/>
      <c r="B110" s="4"/>
      <c r="C110" s="4"/>
      <c r="D110" s="7"/>
      <c r="E110" s="4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6"/>
      <c r="AP110" s="6"/>
      <c r="AQ110" s="6"/>
      <c r="AR110" s="6"/>
      <c r="AS110" s="6"/>
      <c r="AT110" s="6"/>
      <c r="AU110" s="6"/>
      <c r="AV110" s="8"/>
      <c r="AW110" s="4"/>
    </row>
    <row r="111" spans="1:49" ht="14.25" customHeight="1">
      <c r="A111" s="4"/>
      <c r="B111" s="4"/>
      <c r="C111" s="4"/>
      <c r="D111" s="7"/>
      <c r="E111" s="4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6"/>
      <c r="AP111" s="6"/>
      <c r="AQ111" s="6"/>
      <c r="AR111" s="6"/>
      <c r="AS111" s="6"/>
      <c r="AT111" s="6"/>
      <c r="AU111" s="6"/>
      <c r="AV111" s="8"/>
      <c r="AW111" s="4"/>
    </row>
    <row r="112" spans="1:49" ht="14.25" customHeight="1">
      <c r="A112" s="4"/>
      <c r="B112" s="4"/>
      <c r="C112" s="4"/>
      <c r="D112" s="7"/>
      <c r="E112" s="4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6"/>
      <c r="AP112" s="6"/>
      <c r="AQ112" s="6"/>
      <c r="AR112" s="6"/>
      <c r="AS112" s="6"/>
      <c r="AT112" s="6"/>
      <c r="AU112" s="6"/>
      <c r="AV112" s="8"/>
      <c r="AW112" s="4"/>
    </row>
    <row r="113" spans="1:49" ht="14.25" customHeight="1">
      <c r="A113" s="4"/>
      <c r="B113" s="4"/>
      <c r="C113" s="4"/>
      <c r="D113" s="7"/>
      <c r="E113" s="4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6"/>
      <c r="AP113" s="6"/>
      <c r="AQ113" s="6"/>
      <c r="AR113" s="6"/>
      <c r="AS113" s="6"/>
      <c r="AT113" s="6"/>
      <c r="AU113" s="6"/>
      <c r="AV113" s="8"/>
      <c r="AW113" s="4"/>
    </row>
    <row r="114" spans="1:49" ht="14.25" customHeight="1">
      <c r="A114" s="4"/>
      <c r="B114" s="4"/>
      <c r="C114" s="4"/>
      <c r="D114" s="7"/>
      <c r="E114" s="4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6"/>
      <c r="AP114" s="6"/>
      <c r="AQ114" s="6"/>
      <c r="AR114" s="6"/>
      <c r="AS114" s="6"/>
      <c r="AT114" s="6"/>
      <c r="AU114" s="6"/>
      <c r="AV114" s="8"/>
      <c r="AW114" s="4"/>
    </row>
    <row r="115" spans="1:49" ht="14.25" customHeight="1">
      <c r="A115" s="4"/>
      <c r="B115" s="4"/>
      <c r="C115" s="4"/>
      <c r="D115" s="7"/>
      <c r="E115" s="4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6"/>
      <c r="AP115" s="6"/>
      <c r="AQ115" s="6"/>
      <c r="AR115" s="6"/>
      <c r="AS115" s="6"/>
      <c r="AT115" s="6"/>
      <c r="AU115" s="6"/>
      <c r="AV115" s="8"/>
      <c r="AW115" s="4"/>
    </row>
    <row r="116" spans="1:49" ht="14.25" customHeight="1">
      <c r="A116" s="4"/>
      <c r="B116" s="4"/>
      <c r="C116" s="4"/>
      <c r="D116" s="7"/>
      <c r="E116" s="4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6"/>
      <c r="AP116" s="6"/>
      <c r="AQ116" s="6"/>
      <c r="AR116" s="6"/>
      <c r="AS116" s="6"/>
      <c r="AT116" s="6"/>
      <c r="AU116" s="6"/>
      <c r="AV116" s="8"/>
      <c r="AW116" s="4"/>
    </row>
    <row r="117" spans="1:49" ht="14.25" customHeight="1">
      <c r="A117" s="4"/>
      <c r="B117" s="4"/>
      <c r="C117" s="4"/>
      <c r="D117" s="7"/>
      <c r="E117" s="4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6"/>
      <c r="AP117" s="6"/>
      <c r="AQ117" s="6"/>
      <c r="AR117" s="6"/>
      <c r="AS117" s="6"/>
      <c r="AT117" s="6"/>
      <c r="AU117" s="6"/>
      <c r="AV117" s="8"/>
      <c r="AW117" s="4"/>
    </row>
    <row r="118" spans="1:49" ht="14.25" customHeight="1">
      <c r="A118" s="4"/>
      <c r="B118" s="4"/>
      <c r="C118" s="4"/>
      <c r="D118" s="7"/>
      <c r="E118" s="4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6"/>
      <c r="AP118" s="6"/>
      <c r="AQ118" s="6"/>
      <c r="AR118" s="6"/>
      <c r="AS118" s="6"/>
      <c r="AT118" s="6"/>
      <c r="AU118" s="6"/>
      <c r="AV118" s="8"/>
      <c r="AW118" s="4"/>
    </row>
    <row r="119" spans="1:49" ht="14.25" customHeight="1">
      <c r="A119" s="4"/>
      <c r="B119" s="4"/>
      <c r="C119" s="4"/>
      <c r="D119" s="7"/>
      <c r="E119" s="4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6"/>
      <c r="AP119" s="6"/>
      <c r="AQ119" s="6"/>
      <c r="AR119" s="6"/>
      <c r="AS119" s="6"/>
      <c r="AT119" s="6"/>
      <c r="AU119" s="6"/>
      <c r="AV119" s="8"/>
      <c r="AW119" s="4"/>
    </row>
    <row r="120" spans="1:49" ht="14.25" customHeight="1">
      <c r="A120" s="4"/>
      <c r="B120" s="4"/>
      <c r="C120" s="4"/>
      <c r="D120" s="7"/>
      <c r="E120" s="4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6"/>
      <c r="AP120" s="6"/>
      <c r="AQ120" s="6"/>
      <c r="AR120" s="6"/>
      <c r="AS120" s="6"/>
      <c r="AT120" s="6"/>
      <c r="AU120" s="6"/>
      <c r="AV120" s="8"/>
      <c r="AW120" s="4"/>
    </row>
    <row r="121" spans="1:49" ht="14.25" customHeight="1">
      <c r="A121" s="4"/>
      <c r="B121" s="4"/>
      <c r="C121" s="4"/>
      <c r="D121" s="7"/>
      <c r="E121" s="4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6"/>
      <c r="AP121" s="6"/>
      <c r="AQ121" s="6"/>
      <c r="AR121" s="6"/>
      <c r="AS121" s="6"/>
      <c r="AT121" s="6"/>
      <c r="AU121" s="6"/>
      <c r="AV121" s="8"/>
      <c r="AW121" s="4"/>
    </row>
    <row r="122" spans="1:49" ht="14.25" customHeight="1">
      <c r="A122" s="4"/>
      <c r="B122" s="4"/>
      <c r="C122" s="4"/>
      <c r="D122" s="7"/>
      <c r="E122" s="4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"/>
      <c r="AP122" s="6"/>
      <c r="AQ122" s="6"/>
      <c r="AR122" s="6"/>
      <c r="AS122" s="6"/>
      <c r="AT122" s="6"/>
      <c r="AU122" s="6"/>
      <c r="AV122" s="8"/>
      <c r="AW122" s="4"/>
    </row>
    <row r="123" spans="1:49" ht="14.25" customHeight="1">
      <c r="A123" s="4"/>
      <c r="B123" s="4"/>
      <c r="C123" s="4"/>
      <c r="D123" s="7"/>
      <c r="E123" s="4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"/>
      <c r="AP123" s="6"/>
      <c r="AQ123" s="6"/>
      <c r="AR123" s="6"/>
      <c r="AS123" s="6"/>
      <c r="AT123" s="6"/>
      <c r="AU123" s="6"/>
      <c r="AV123" s="8"/>
      <c r="AW123" s="4"/>
    </row>
    <row r="124" spans="1:49" ht="14.25" customHeight="1">
      <c r="A124" s="4"/>
      <c r="B124" s="4"/>
      <c r="C124" s="4"/>
      <c r="D124" s="7"/>
      <c r="E124" s="4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"/>
      <c r="AP124" s="6"/>
      <c r="AQ124" s="6"/>
      <c r="AR124" s="6"/>
      <c r="AS124" s="6"/>
      <c r="AT124" s="6"/>
      <c r="AU124" s="6"/>
      <c r="AV124" s="8"/>
      <c r="AW124" s="4"/>
    </row>
    <row r="125" spans="1:49" ht="14.25" customHeight="1">
      <c r="A125" s="4"/>
      <c r="B125" s="4"/>
      <c r="C125" s="4"/>
      <c r="D125" s="7"/>
      <c r="E125" s="4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"/>
      <c r="AP125" s="6"/>
      <c r="AQ125" s="6"/>
      <c r="AR125" s="6"/>
      <c r="AS125" s="6"/>
      <c r="AT125" s="6"/>
      <c r="AU125" s="6"/>
      <c r="AV125" s="8"/>
      <c r="AW125" s="4"/>
    </row>
    <row r="126" spans="1:49" ht="14.25" customHeight="1">
      <c r="A126" s="4"/>
      <c r="B126" s="4"/>
      <c r="C126" s="4"/>
      <c r="D126" s="7"/>
      <c r="E126" s="4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6"/>
      <c r="AP126" s="6"/>
      <c r="AQ126" s="6"/>
      <c r="AR126" s="6"/>
      <c r="AS126" s="6"/>
      <c r="AT126" s="6"/>
      <c r="AU126" s="6"/>
      <c r="AV126" s="8"/>
      <c r="AW126" s="4"/>
    </row>
    <row r="127" spans="1:49" ht="14.25" customHeight="1">
      <c r="A127" s="4"/>
      <c r="B127" s="4"/>
      <c r="C127" s="4"/>
      <c r="D127" s="7"/>
      <c r="E127" s="4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6"/>
      <c r="AP127" s="6"/>
      <c r="AQ127" s="6"/>
      <c r="AR127" s="6"/>
      <c r="AS127" s="6"/>
      <c r="AT127" s="6"/>
      <c r="AU127" s="6"/>
      <c r="AV127" s="8"/>
      <c r="AW127" s="4"/>
    </row>
    <row r="128" spans="1:49" ht="14.25" customHeight="1">
      <c r="A128" s="4"/>
      <c r="B128" s="4"/>
      <c r="C128" s="4"/>
      <c r="D128" s="7"/>
      <c r="E128" s="4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6"/>
      <c r="AP128" s="6"/>
      <c r="AQ128" s="6"/>
      <c r="AR128" s="6"/>
      <c r="AS128" s="6"/>
      <c r="AT128" s="6"/>
      <c r="AU128" s="6"/>
      <c r="AV128" s="8"/>
      <c r="AW128" s="4"/>
    </row>
    <row r="129" spans="1:49" ht="14.25" customHeight="1">
      <c r="A129" s="4"/>
      <c r="B129" s="4"/>
      <c r="C129" s="4"/>
      <c r="D129" s="7"/>
      <c r="E129" s="4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6"/>
      <c r="AP129" s="6"/>
      <c r="AQ129" s="6"/>
      <c r="AR129" s="6"/>
      <c r="AS129" s="6"/>
      <c r="AT129" s="6"/>
      <c r="AU129" s="6"/>
      <c r="AV129" s="8"/>
      <c r="AW129" s="4"/>
    </row>
    <row r="130" spans="1:49" ht="14.25" customHeight="1">
      <c r="A130" s="4"/>
      <c r="B130" s="4"/>
      <c r="C130" s="4"/>
      <c r="D130" s="7"/>
      <c r="E130" s="4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6"/>
      <c r="AP130" s="6"/>
      <c r="AQ130" s="6"/>
      <c r="AR130" s="6"/>
      <c r="AS130" s="6"/>
      <c r="AT130" s="6"/>
      <c r="AU130" s="6"/>
      <c r="AV130" s="8"/>
      <c r="AW130" s="4"/>
    </row>
    <row r="131" spans="1:49" ht="14.25" customHeight="1">
      <c r="A131" s="4"/>
      <c r="B131" s="4"/>
      <c r="C131" s="4"/>
      <c r="D131" s="7"/>
      <c r="E131" s="4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6"/>
      <c r="AP131" s="6"/>
      <c r="AQ131" s="6"/>
      <c r="AR131" s="6"/>
      <c r="AS131" s="6"/>
      <c r="AT131" s="6"/>
      <c r="AU131" s="6"/>
      <c r="AV131" s="8"/>
      <c r="AW131" s="4"/>
    </row>
    <row r="132" spans="1:49" ht="14.25" customHeight="1">
      <c r="A132" s="4"/>
      <c r="B132" s="4"/>
      <c r="C132" s="4"/>
      <c r="D132" s="7"/>
      <c r="E132" s="4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6"/>
      <c r="AP132" s="6"/>
      <c r="AQ132" s="6"/>
      <c r="AR132" s="6"/>
      <c r="AS132" s="6"/>
      <c r="AT132" s="6"/>
      <c r="AU132" s="6"/>
      <c r="AV132" s="8"/>
      <c r="AW132" s="4"/>
    </row>
    <row r="133" spans="1:49" ht="14.25" customHeight="1">
      <c r="A133" s="4"/>
      <c r="B133" s="4"/>
      <c r="C133" s="4"/>
      <c r="D133" s="7"/>
      <c r="E133" s="4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6"/>
      <c r="AP133" s="6"/>
      <c r="AQ133" s="6"/>
      <c r="AR133" s="6"/>
      <c r="AS133" s="6"/>
      <c r="AT133" s="6"/>
      <c r="AU133" s="6"/>
      <c r="AV133" s="8"/>
      <c r="AW133" s="4"/>
    </row>
    <row r="134" spans="1:49" ht="14.25" customHeight="1">
      <c r="A134" s="4"/>
      <c r="B134" s="4"/>
      <c r="C134" s="4"/>
      <c r="D134" s="7"/>
      <c r="E134" s="4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6"/>
      <c r="AP134" s="6"/>
      <c r="AQ134" s="6"/>
      <c r="AR134" s="6"/>
      <c r="AS134" s="6"/>
      <c r="AT134" s="6"/>
      <c r="AU134" s="6"/>
      <c r="AV134" s="8"/>
      <c r="AW134" s="4"/>
    </row>
    <row r="135" spans="1:49" ht="14.25" customHeight="1">
      <c r="A135" s="4"/>
      <c r="B135" s="4"/>
      <c r="C135" s="4"/>
      <c r="D135" s="7"/>
      <c r="E135" s="4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6"/>
      <c r="AP135" s="6"/>
      <c r="AQ135" s="6"/>
      <c r="AR135" s="6"/>
      <c r="AS135" s="6"/>
      <c r="AT135" s="6"/>
      <c r="AU135" s="6"/>
      <c r="AV135" s="8"/>
      <c r="AW135" s="4"/>
    </row>
    <row r="136" spans="1:49" ht="14.25" customHeight="1">
      <c r="A136" s="4"/>
      <c r="B136" s="4"/>
      <c r="C136" s="4"/>
      <c r="D136" s="7"/>
      <c r="E136" s="4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6"/>
      <c r="AP136" s="6"/>
      <c r="AQ136" s="6"/>
      <c r="AR136" s="6"/>
      <c r="AS136" s="6"/>
      <c r="AT136" s="6"/>
      <c r="AU136" s="6"/>
      <c r="AV136" s="8"/>
      <c r="AW136" s="4"/>
    </row>
    <row r="137" spans="1:49" ht="14.25" customHeight="1">
      <c r="A137" s="4"/>
      <c r="B137" s="4"/>
      <c r="C137" s="4"/>
      <c r="D137" s="7"/>
      <c r="E137" s="4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6"/>
      <c r="AP137" s="6"/>
      <c r="AQ137" s="6"/>
      <c r="AR137" s="6"/>
      <c r="AS137" s="6"/>
      <c r="AT137" s="6"/>
      <c r="AU137" s="6"/>
      <c r="AV137" s="8"/>
      <c r="AW137" s="4"/>
    </row>
    <row r="138" spans="1:49" ht="14.25" customHeight="1">
      <c r="A138" s="4"/>
      <c r="B138" s="4"/>
      <c r="C138" s="4"/>
      <c r="D138" s="7"/>
      <c r="E138" s="4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6"/>
      <c r="AP138" s="6"/>
      <c r="AQ138" s="6"/>
      <c r="AR138" s="6"/>
      <c r="AS138" s="6"/>
      <c r="AT138" s="6"/>
      <c r="AU138" s="6"/>
      <c r="AV138" s="8"/>
      <c r="AW138" s="4"/>
    </row>
    <row r="139" spans="1:49" ht="14.25" customHeight="1">
      <c r="A139" s="4"/>
      <c r="B139" s="4"/>
      <c r="C139" s="4"/>
      <c r="D139" s="7"/>
      <c r="E139" s="4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6"/>
      <c r="AP139" s="6"/>
      <c r="AQ139" s="6"/>
      <c r="AR139" s="6"/>
      <c r="AS139" s="6"/>
      <c r="AT139" s="6"/>
      <c r="AU139" s="6"/>
      <c r="AV139" s="8"/>
      <c r="AW139" s="4"/>
    </row>
    <row r="140" spans="1:49" ht="14.25" customHeight="1">
      <c r="A140" s="4"/>
      <c r="B140" s="4"/>
      <c r="C140" s="4"/>
      <c r="D140" s="7"/>
      <c r="E140" s="4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6"/>
      <c r="AP140" s="6"/>
      <c r="AQ140" s="6"/>
      <c r="AR140" s="6"/>
      <c r="AS140" s="6"/>
      <c r="AT140" s="6"/>
      <c r="AU140" s="6"/>
      <c r="AV140" s="8"/>
      <c r="AW140" s="4"/>
    </row>
    <row r="141" spans="1:49" ht="14.25" customHeight="1">
      <c r="A141" s="4"/>
      <c r="B141" s="4"/>
      <c r="C141" s="4"/>
      <c r="D141" s="7"/>
      <c r="E141" s="4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6"/>
      <c r="AP141" s="6"/>
      <c r="AQ141" s="6"/>
      <c r="AR141" s="6"/>
      <c r="AS141" s="6"/>
      <c r="AT141" s="6"/>
      <c r="AU141" s="6"/>
      <c r="AV141" s="8"/>
      <c r="AW141" s="4"/>
    </row>
    <row r="142" spans="1:49" ht="14.25" customHeight="1">
      <c r="A142" s="4"/>
      <c r="B142" s="4"/>
      <c r="C142" s="4"/>
      <c r="D142" s="7"/>
      <c r="E142" s="4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6"/>
      <c r="AP142" s="6"/>
      <c r="AQ142" s="6"/>
      <c r="AR142" s="6"/>
      <c r="AS142" s="6"/>
      <c r="AT142" s="6"/>
      <c r="AU142" s="6"/>
      <c r="AV142" s="8"/>
      <c r="AW142" s="4"/>
    </row>
    <row r="143" spans="1:49" ht="15.75" customHeight="1">
      <c r="A143" s="6"/>
      <c r="B143" s="6"/>
      <c r="C143" s="6"/>
      <c r="D143" s="8"/>
      <c r="E143" s="6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8"/>
      <c r="AW143" s="6"/>
    </row>
    <row r="144" spans="1:49" ht="15.75" customHeight="1">
      <c r="A144" s="6"/>
      <c r="B144" s="6"/>
      <c r="C144" s="6"/>
      <c r="D144" s="8"/>
      <c r="E144" s="6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8"/>
      <c r="AW144" s="6"/>
    </row>
    <row r="145" spans="1:49" ht="15.75" customHeight="1">
      <c r="A145" s="6"/>
      <c r="B145" s="6"/>
      <c r="C145" s="6"/>
      <c r="D145" s="8"/>
      <c r="E145" s="6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8"/>
      <c r="AW145" s="6"/>
    </row>
    <row r="146" spans="1:49" ht="15.75" customHeight="1">
      <c r="A146" s="6"/>
      <c r="B146" s="6"/>
      <c r="C146" s="6"/>
      <c r="D146" s="8"/>
      <c r="E146" s="6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8"/>
      <c r="AW146" s="6"/>
    </row>
    <row r="147" spans="1:49" ht="15.75" customHeight="1">
      <c r="A147" s="6"/>
      <c r="B147" s="6"/>
      <c r="C147" s="6"/>
      <c r="D147" s="8"/>
      <c r="E147" s="6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8"/>
      <c r="AW147" s="6"/>
    </row>
    <row r="148" spans="1:49" ht="15.75" customHeight="1">
      <c r="A148" s="6"/>
      <c r="B148" s="6"/>
      <c r="C148" s="6"/>
      <c r="D148" s="8"/>
      <c r="E148" s="6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8"/>
      <c r="AW148" s="6"/>
    </row>
    <row r="149" spans="1:49" ht="15.75" customHeight="1">
      <c r="A149" s="6"/>
      <c r="B149" s="6"/>
      <c r="C149" s="6"/>
      <c r="D149" s="8"/>
      <c r="E149" s="6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8"/>
      <c r="AW149" s="6"/>
    </row>
    <row r="150" spans="1:49" ht="15.75" customHeight="1">
      <c r="A150" s="6"/>
      <c r="B150" s="6"/>
      <c r="C150" s="6"/>
      <c r="D150" s="8"/>
      <c r="E150" s="6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8"/>
      <c r="AW150" s="6"/>
    </row>
    <row r="151" spans="1:49" ht="15.75" customHeight="1">
      <c r="A151" s="6"/>
      <c r="B151" s="6"/>
      <c r="C151" s="6"/>
      <c r="D151" s="8"/>
      <c r="E151" s="6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8"/>
      <c r="AW151" s="6"/>
    </row>
    <row r="152" spans="1:49" ht="15.75" customHeight="1">
      <c r="A152" s="6"/>
      <c r="B152" s="6"/>
      <c r="C152" s="6"/>
      <c r="D152" s="8"/>
      <c r="E152" s="6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8"/>
      <c r="AW152" s="6"/>
    </row>
    <row r="153" spans="1:49" ht="15.75" customHeight="1">
      <c r="A153" s="6"/>
      <c r="B153" s="6"/>
      <c r="C153" s="6"/>
      <c r="D153" s="8"/>
      <c r="E153" s="6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8"/>
      <c r="AW153" s="6"/>
    </row>
    <row r="154" spans="1:49" ht="15.75" customHeight="1">
      <c r="A154" s="6"/>
      <c r="B154" s="6"/>
      <c r="C154" s="6"/>
      <c r="D154" s="8"/>
      <c r="E154" s="6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8"/>
      <c r="AW154" s="6"/>
    </row>
    <row r="155" spans="1:49" ht="15.75" customHeight="1">
      <c r="A155" s="6"/>
      <c r="B155" s="6"/>
      <c r="C155" s="6"/>
      <c r="D155" s="8"/>
      <c r="E155" s="6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8"/>
      <c r="AW155" s="6"/>
    </row>
    <row r="156" spans="1:49" ht="15.75" customHeight="1">
      <c r="A156" s="6"/>
      <c r="B156" s="6"/>
      <c r="C156" s="6"/>
      <c r="D156" s="8"/>
      <c r="E156" s="6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8"/>
      <c r="AW156" s="6"/>
    </row>
    <row r="157" spans="1:49" ht="15.75" customHeight="1">
      <c r="A157" s="6"/>
      <c r="B157" s="6"/>
      <c r="C157" s="6"/>
      <c r="D157" s="8"/>
      <c r="E157" s="6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8"/>
      <c r="AW157" s="6"/>
    </row>
    <row r="158" spans="1:49" ht="15.75" customHeight="1">
      <c r="A158" s="6"/>
      <c r="B158" s="6"/>
      <c r="C158" s="6"/>
      <c r="D158" s="8"/>
      <c r="E158" s="6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8"/>
      <c r="AW158" s="6"/>
    </row>
    <row r="159" spans="1:49" ht="15.75" customHeight="1">
      <c r="A159" s="6"/>
      <c r="B159" s="6"/>
      <c r="C159" s="6"/>
      <c r="D159" s="8"/>
      <c r="E159" s="6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8"/>
      <c r="AW159" s="6"/>
    </row>
    <row r="160" spans="1:49" ht="15.75" customHeight="1">
      <c r="A160" s="6"/>
      <c r="B160" s="6"/>
      <c r="C160" s="6"/>
      <c r="D160" s="8"/>
      <c r="E160" s="6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8"/>
      <c r="AW160" s="6"/>
    </row>
    <row r="161" spans="1:49" ht="15.75" customHeight="1">
      <c r="A161" s="6"/>
      <c r="B161" s="6"/>
      <c r="C161" s="6"/>
      <c r="D161" s="8"/>
      <c r="E161" s="6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8"/>
      <c r="AW161" s="6"/>
    </row>
    <row r="162" spans="1:49" ht="15.75" customHeight="1">
      <c r="A162" s="6"/>
      <c r="B162" s="6"/>
      <c r="C162" s="6"/>
      <c r="D162" s="8"/>
      <c r="E162" s="6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8"/>
      <c r="AW162" s="6"/>
    </row>
    <row r="163" spans="1:49" ht="15.75" customHeight="1">
      <c r="A163" s="6"/>
      <c r="B163" s="6"/>
      <c r="C163" s="6"/>
      <c r="D163" s="8"/>
      <c r="E163" s="6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8"/>
      <c r="AW163" s="6"/>
    </row>
    <row r="164" spans="1:49" ht="15.75" customHeight="1">
      <c r="A164" s="6"/>
      <c r="B164" s="6"/>
      <c r="C164" s="6"/>
      <c r="D164" s="8"/>
      <c r="E164" s="6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8"/>
      <c r="AW164" s="6"/>
    </row>
    <row r="165" spans="1:49" ht="15.75" customHeight="1">
      <c r="A165" s="6"/>
      <c r="B165" s="6"/>
      <c r="C165" s="6"/>
      <c r="D165" s="8"/>
      <c r="E165" s="6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8"/>
      <c r="AW165" s="6"/>
    </row>
    <row r="166" spans="1:49" ht="15.75" customHeight="1">
      <c r="A166" s="6"/>
      <c r="B166" s="6"/>
      <c r="C166" s="6"/>
      <c r="D166" s="8"/>
      <c r="E166" s="6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8"/>
      <c r="AW166" s="6"/>
    </row>
    <row r="167" spans="1:49" ht="15.75" customHeight="1">
      <c r="A167" s="6"/>
      <c r="B167" s="6"/>
      <c r="C167" s="6"/>
      <c r="D167" s="8"/>
      <c r="E167" s="6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8"/>
      <c r="AW167" s="6"/>
    </row>
    <row r="168" spans="1:49" ht="15.75" customHeight="1">
      <c r="A168" s="6"/>
      <c r="B168" s="6"/>
      <c r="C168" s="6"/>
      <c r="D168" s="8"/>
      <c r="E168" s="6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8"/>
      <c r="AW168" s="6"/>
    </row>
    <row r="169" spans="1:49" ht="15.75" customHeight="1">
      <c r="A169" s="6"/>
      <c r="B169" s="6"/>
      <c r="C169" s="6"/>
      <c r="D169" s="8"/>
      <c r="E169" s="6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8"/>
      <c r="AW169" s="6"/>
    </row>
    <row r="170" spans="1:49" ht="15.75" customHeight="1">
      <c r="A170" s="6"/>
      <c r="B170" s="6"/>
      <c r="C170" s="6"/>
      <c r="D170" s="8"/>
      <c r="E170" s="6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8"/>
      <c r="AW170" s="6"/>
    </row>
    <row r="171" spans="1:49" ht="15.75" customHeight="1">
      <c r="A171" s="6"/>
      <c r="B171" s="6"/>
      <c r="C171" s="6"/>
      <c r="D171" s="8"/>
      <c r="E171" s="6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8"/>
      <c r="AW171" s="6"/>
    </row>
    <row r="172" spans="1:49" ht="15.75" customHeight="1">
      <c r="A172" s="6"/>
      <c r="B172" s="6"/>
      <c r="C172" s="6"/>
      <c r="D172" s="8"/>
      <c r="E172" s="6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8"/>
      <c r="AW172" s="6"/>
    </row>
    <row r="173" spans="1:49" ht="15.75" customHeight="1">
      <c r="A173" s="6"/>
      <c r="B173" s="6"/>
      <c r="C173" s="6"/>
      <c r="D173" s="8"/>
      <c r="E173" s="6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8"/>
      <c r="AW173" s="6"/>
    </row>
    <row r="174" spans="1:49" ht="15.75" customHeight="1">
      <c r="A174" s="6"/>
      <c r="B174" s="6"/>
      <c r="C174" s="6"/>
      <c r="D174" s="8"/>
      <c r="E174" s="6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8"/>
      <c r="AW174" s="6"/>
    </row>
    <row r="175" spans="1:49" ht="15.75" customHeight="1">
      <c r="A175" s="6"/>
      <c r="B175" s="6"/>
      <c r="C175" s="6"/>
      <c r="D175" s="8"/>
      <c r="E175" s="6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8"/>
      <c r="AW175" s="6"/>
    </row>
    <row r="176" spans="1:49" ht="15.75" customHeight="1">
      <c r="A176" s="6"/>
      <c r="B176" s="6"/>
      <c r="C176" s="6"/>
      <c r="D176" s="8"/>
      <c r="E176" s="6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8"/>
      <c r="AW176" s="6"/>
    </row>
    <row r="177" spans="1:49" ht="15.75" customHeight="1">
      <c r="A177" s="6"/>
      <c r="B177" s="6"/>
      <c r="C177" s="6"/>
      <c r="D177" s="8"/>
      <c r="E177" s="6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8"/>
      <c r="AW177" s="6"/>
    </row>
    <row r="178" spans="1:49" ht="15.75" customHeight="1">
      <c r="A178" s="6"/>
      <c r="B178" s="6"/>
      <c r="C178" s="6"/>
      <c r="D178" s="8"/>
      <c r="E178" s="6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8"/>
      <c r="AW178" s="6"/>
    </row>
    <row r="179" spans="1:49" ht="15.75" customHeight="1">
      <c r="A179" s="6"/>
      <c r="B179" s="6"/>
      <c r="C179" s="6"/>
      <c r="D179" s="8"/>
      <c r="E179" s="6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8"/>
      <c r="AW179" s="6"/>
    </row>
    <row r="180" spans="1:49" ht="15.75" customHeight="1">
      <c r="A180" s="6"/>
      <c r="B180" s="6"/>
      <c r="C180" s="6"/>
      <c r="D180" s="8"/>
      <c r="E180" s="6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8"/>
      <c r="AW180" s="6"/>
    </row>
    <row r="181" spans="1:49" ht="15.75" customHeight="1">
      <c r="A181" s="6"/>
      <c r="B181" s="6"/>
      <c r="C181" s="6"/>
      <c r="D181" s="8"/>
      <c r="E181" s="6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8"/>
      <c r="AW181" s="6"/>
    </row>
    <row r="182" spans="1:49" ht="15.75" customHeight="1">
      <c r="A182" s="6"/>
      <c r="B182" s="6"/>
      <c r="C182" s="6"/>
      <c r="D182" s="8"/>
      <c r="E182" s="6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8"/>
      <c r="AW182" s="6"/>
    </row>
    <row r="183" spans="1:49" ht="15.75" customHeight="1">
      <c r="A183" s="6"/>
      <c r="B183" s="6"/>
      <c r="C183" s="6"/>
      <c r="D183" s="8"/>
      <c r="E183" s="6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8"/>
      <c r="AW183" s="6"/>
    </row>
    <row r="184" spans="1:49" ht="15.75" customHeight="1">
      <c r="A184" s="6"/>
      <c r="B184" s="6"/>
      <c r="C184" s="6"/>
      <c r="D184" s="8"/>
      <c r="E184" s="6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8"/>
      <c r="AW184" s="6"/>
    </row>
    <row r="185" spans="1:49" ht="15.75" customHeight="1">
      <c r="A185" s="6"/>
      <c r="B185" s="6"/>
      <c r="C185" s="6"/>
      <c r="D185" s="8"/>
      <c r="E185" s="6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8"/>
      <c r="AW185" s="6"/>
    </row>
    <row r="186" spans="1:49" ht="15.75" customHeight="1">
      <c r="A186" s="6"/>
      <c r="B186" s="6"/>
      <c r="C186" s="6"/>
      <c r="D186" s="8"/>
      <c r="E186" s="6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8"/>
      <c r="AW186" s="6"/>
    </row>
    <row r="187" spans="1:49" ht="15.75" customHeight="1">
      <c r="A187" s="6"/>
      <c r="B187" s="6"/>
      <c r="C187" s="6"/>
      <c r="D187" s="8"/>
      <c r="E187" s="6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8"/>
      <c r="AW187" s="6"/>
    </row>
    <row r="188" spans="1:49" ht="15.75" customHeight="1">
      <c r="A188" s="6"/>
      <c r="B188" s="6"/>
      <c r="C188" s="6"/>
      <c r="D188" s="8"/>
      <c r="E188" s="6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8"/>
      <c r="AW188" s="6"/>
    </row>
    <row r="189" spans="1:49" ht="15.75" customHeight="1">
      <c r="A189" s="6"/>
      <c r="B189" s="6"/>
      <c r="C189" s="6"/>
      <c r="D189" s="8"/>
      <c r="E189" s="6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8"/>
      <c r="AW189" s="6"/>
    </row>
    <row r="190" spans="1:49" ht="15.75" customHeight="1">
      <c r="A190" s="6"/>
      <c r="B190" s="6"/>
      <c r="C190" s="6"/>
      <c r="D190" s="8"/>
      <c r="E190" s="6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8"/>
      <c r="AW190" s="6"/>
    </row>
    <row r="191" spans="1:49" ht="15.75" customHeight="1">
      <c r="A191" s="6"/>
      <c r="B191" s="6"/>
      <c r="C191" s="6"/>
      <c r="D191" s="8"/>
      <c r="E191" s="6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8"/>
      <c r="AW191" s="6"/>
    </row>
    <row r="192" spans="1:49" ht="15.75" customHeight="1">
      <c r="A192" s="6"/>
      <c r="B192" s="6"/>
      <c r="C192" s="6"/>
      <c r="D192" s="8"/>
      <c r="E192" s="6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8"/>
      <c r="AW192" s="6"/>
    </row>
    <row r="193" spans="1:49" ht="15.75" customHeight="1">
      <c r="A193" s="6"/>
      <c r="B193" s="6"/>
      <c r="C193" s="6"/>
      <c r="D193" s="8"/>
      <c r="E193" s="6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8"/>
      <c r="AW193" s="6"/>
    </row>
    <row r="194" spans="1:49" ht="15.75" customHeight="1">
      <c r="A194" s="6"/>
      <c r="B194" s="6"/>
      <c r="C194" s="6"/>
      <c r="D194" s="8"/>
      <c r="E194" s="6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8"/>
      <c r="AW194" s="6"/>
    </row>
    <row r="195" spans="1:49" ht="15.75" customHeight="1">
      <c r="A195" s="6"/>
      <c r="B195" s="6"/>
      <c r="C195" s="6"/>
      <c r="D195" s="8"/>
      <c r="E195" s="6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8"/>
      <c r="AW195" s="6"/>
    </row>
    <row r="196" spans="1:49" ht="15.75" customHeight="1">
      <c r="A196" s="6"/>
      <c r="B196" s="6"/>
      <c r="C196" s="6"/>
      <c r="D196" s="8"/>
      <c r="E196" s="6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8"/>
      <c r="AW196" s="6"/>
    </row>
    <row r="197" spans="1:49" ht="15.75" customHeight="1">
      <c r="A197" s="6"/>
      <c r="B197" s="6"/>
      <c r="C197" s="6"/>
      <c r="D197" s="8"/>
      <c r="E197" s="6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8"/>
      <c r="AW197" s="6"/>
    </row>
    <row r="198" spans="1:49" ht="15.75" customHeight="1">
      <c r="A198" s="6"/>
      <c r="B198" s="6"/>
      <c r="C198" s="6"/>
      <c r="D198" s="8"/>
      <c r="E198" s="6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8"/>
      <c r="AW198" s="6"/>
    </row>
    <row r="199" spans="1:49" ht="15.75" customHeight="1">
      <c r="A199" s="6"/>
      <c r="B199" s="6"/>
      <c r="C199" s="6"/>
      <c r="D199" s="8"/>
      <c r="E199" s="6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8"/>
      <c r="AW199" s="6"/>
    </row>
    <row r="200" spans="1:49" ht="15.75" customHeight="1">
      <c r="A200" s="6"/>
      <c r="B200" s="6"/>
      <c r="C200" s="6"/>
      <c r="D200" s="8"/>
      <c r="E200" s="6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8"/>
      <c r="AW200" s="6"/>
    </row>
    <row r="201" spans="1:49" ht="15.75" customHeight="1">
      <c r="A201" s="6"/>
      <c r="B201" s="6"/>
      <c r="C201" s="6"/>
      <c r="D201" s="8"/>
      <c r="E201" s="6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8"/>
      <c r="AW201" s="6"/>
    </row>
    <row r="202" spans="1:49" ht="15.75" customHeight="1">
      <c r="A202" s="6"/>
      <c r="B202" s="6"/>
      <c r="C202" s="6"/>
      <c r="D202" s="8"/>
      <c r="E202" s="6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8"/>
      <c r="AW202" s="6"/>
    </row>
    <row r="203" spans="1:49" ht="15.75" customHeight="1">
      <c r="A203" s="6"/>
      <c r="B203" s="6"/>
      <c r="C203" s="6"/>
      <c r="D203" s="8"/>
      <c r="E203" s="6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8"/>
      <c r="AW203" s="6"/>
    </row>
    <row r="204" spans="1:49" ht="15.75" customHeight="1">
      <c r="A204" s="6"/>
      <c r="B204" s="6"/>
      <c r="C204" s="6"/>
      <c r="D204" s="8"/>
      <c r="E204" s="6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8"/>
      <c r="AW204" s="6"/>
    </row>
    <row r="205" spans="1:49" ht="15.75" customHeight="1">
      <c r="A205" s="6"/>
      <c r="B205" s="6"/>
      <c r="C205" s="6"/>
      <c r="D205" s="8"/>
      <c r="E205" s="6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8"/>
      <c r="AW205" s="6"/>
    </row>
    <row r="206" spans="1:49" ht="15.75" customHeight="1">
      <c r="A206" s="6"/>
      <c r="B206" s="6"/>
      <c r="C206" s="6"/>
      <c r="D206" s="8"/>
      <c r="E206" s="6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8"/>
      <c r="AW206" s="6"/>
    </row>
    <row r="207" spans="1:49" ht="15.75" customHeight="1">
      <c r="A207" s="6"/>
      <c r="B207" s="6"/>
      <c r="C207" s="6"/>
      <c r="D207" s="8"/>
      <c r="E207" s="6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8"/>
      <c r="AW207" s="6"/>
    </row>
    <row r="208" spans="1:49" ht="15.75" customHeight="1">
      <c r="A208" s="6"/>
      <c r="B208" s="6"/>
      <c r="C208" s="6"/>
      <c r="D208" s="8"/>
      <c r="E208" s="6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8"/>
      <c r="AW208" s="6"/>
    </row>
    <row r="209" spans="1:49" ht="15.75" customHeight="1">
      <c r="A209" s="6"/>
      <c r="B209" s="6"/>
      <c r="C209" s="6"/>
      <c r="D209" s="8"/>
      <c r="E209" s="6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8"/>
      <c r="AW209" s="6"/>
    </row>
    <row r="210" spans="1:49" ht="15.75" customHeight="1">
      <c r="A210" s="6"/>
      <c r="B210" s="6"/>
      <c r="C210" s="6"/>
      <c r="D210" s="8"/>
      <c r="E210" s="6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8"/>
      <c r="AW210" s="6"/>
    </row>
    <row r="211" spans="1:49" ht="15.75" customHeight="1">
      <c r="A211" s="6"/>
      <c r="B211" s="6"/>
      <c r="C211" s="6"/>
      <c r="D211" s="8"/>
      <c r="E211" s="6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8"/>
      <c r="AW211" s="6"/>
    </row>
    <row r="212" spans="1:49" ht="15.75" customHeight="1">
      <c r="A212" s="6"/>
      <c r="B212" s="6"/>
      <c r="C212" s="6"/>
      <c r="D212" s="8"/>
      <c r="E212" s="6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8"/>
      <c r="AW212" s="6"/>
    </row>
    <row r="213" spans="1:49" ht="15.75" customHeight="1">
      <c r="A213" s="6"/>
      <c r="B213" s="6"/>
      <c r="C213" s="6"/>
      <c r="D213" s="8"/>
      <c r="E213" s="6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8"/>
      <c r="AW213" s="6"/>
    </row>
    <row r="214" spans="1:49" ht="15.75" customHeight="1">
      <c r="A214" s="6"/>
      <c r="B214" s="6"/>
      <c r="C214" s="6"/>
      <c r="D214" s="8"/>
      <c r="E214" s="6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8"/>
      <c r="AW214" s="6"/>
    </row>
    <row r="215" spans="1:49" ht="15.75" customHeight="1">
      <c r="A215" s="6"/>
      <c r="B215" s="6"/>
      <c r="C215" s="6"/>
      <c r="D215" s="8"/>
      <c r="E215" s="6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8"/>
      <c r="AW215" s="6"/>
    </row>
    <row r="216" spans="1:49" ht="15.75" customHeight="1">
      <c r="A216" s="6"/>
      <c r="B216" s="6"/>
      <c r="C216" s="6"/>
      <c r="D216" s="8"/>
      <c r="E216" s="6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8"/>
      <c r="AW216" s="6"/>
    </row>
    <row r="217" spans="1:49" ht="15.75" customHeight="1">
      <c r="A217" s="6"/>
      <c r="B217" s="6"/>
      <c r="C217" s="6"/>
      <c r="D217" s="8"/>
      <c r="E217" s="6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8"/>
      <c r="AW217" s="6"/>
    </row>
    <row r="218" spans="1:49" ht="15.75" customHeight="1">
      <c r="A218" s="6"/>
      <c r="B218" s="6"/>
      <c r="C218" s="6"/>
      <c r="D218" s="8"/>
      <c r="E218" s="6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8"/>
      <c r="AW218" s="6"/>
    </row>
    <row r="219" spans="1:49" ht="15.75" customHeight="1">
      <c r="A219" s="6"/>
      <c r="B219" s="6"/>
      <c r="C219" s="6"/>
      <c r="D219" s="8"/>
      <c r="E219" s="6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8"/>
      <c r="AW219" s="6"/>
    </row>
    <row r="220" spans="1:49" ht="15.75" customHeight="1">
      <c r="A220" s="6"/>
      <c r="B220" s="6"/>
      <c r="C220" s="6"/>
      <c r="D220" s="8"/>
      <c r="E220" s="6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8"/>
      <c r="AW220" s="6"/>
    </row>
    <row r="221" spans="1:49" ht="15.75" customHeight="1">
      <c r="A221" s="6"/>
      <c r="B221" s="6"/>
      <c r="C221" s="6"/>
      <c r="D221" s="8"/>
      <c r="E221" s="6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8"/>
      <c r="AW221" s="6"/>
    </row>
    <row r="222" spans="1:49" ht="15.75" customHeight="1">
      <c r="A222" s="6"/>
      <c r="B222" s="6"/>
      <c r="C222" s="6"/>
      <c r="D222" s="8"/>
      <c r="E222" s="6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8"/>
      <c r="AW222" s="6"/>
    </row>
    <row r="223" spans="1:49" ht="15.75" customHeight="1">
      <c r="A223" s="6"/>
      <c r="B223" s="6"/>
      <c r="C223" s="6"/>
      <c r="D223" s="8"/>
      <c r="E223" s="6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8"/>
      <c r="AW223" s="6"/>
    </row>
    <row r="224" spans="1:49" ht="15.75" customHeight="1">
      <c r="A224" s="6"/>
      <c r="B224" s="6"/>
      <c r="C224" s="6"/>
      <c r="D224" s="8"/>
      <c r="E224" s="6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8"/>
      <c r="AW224" s="6"/>
    </row>
    <row r="225" spans="1:49" ht="15.75" customHeight="1">
      <c r="A225" s="6"/>
      <c r="B225" s="6"/>
      <c r="C225" s="6"/>
      <c r="D225" s="8"/>
      <c r="E225" s="6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8"/>
      <c r="AW225" s="6"/>
    </row>
    <row r="226" spans="1:49" ht="15.75" customHeight="1">
      <c r="A226" s="6"/>
      <c r="B226" s="6"/>
      <c r="C226" s="6"/>
      <c r="D226" s="8"/>
      <c r="E226" s="6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8"/>
      <c r="AW226" s="6"/>
    </row>
    <row r="227" spans="1:49" ht="15.75" customHeight="1">
      <c r="A227" s="6"/>
      <c r="B227" s="6"/>
      <c r="C227" s="6"/>
      <c r="D227" s="8"/>
      <c r="E227" s="6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8"/>
      <c r="AW227" s="6"/>
    </row>
    <row r="228" spans="1:49" ht="15.75" customHeight="1">
      <c r="A228" s="6"/>
      <c r="B228" s="6"/>
      <c r="C228" s="6"/>
      <c r="D228" s="8"/>
      <c r="E228" s="6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8"/>
      <c r="AW228" s="6"/>
    </row>
    <row r="229" spans="1:49" ht="15.75" customHeight="1">
      <c r="A229" s="6"/>
      <c r="B229" s="6"/>
      <c r="C229" s="6"/>
      <c r="D229" s="8"/>
      <c r="E229" s="6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8"/>
      <c r="AW229" s="6"/>
    </row>
    <row r="230" spans="1:49" ht="15.75" customHeight="1">
      <c r="A230" s="6"/>
      <c r="B230" s="6"/>
      <c r="C230" s="6"/>
      <c r="D230" s="8"/>
      <c r="E230" s="6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8"/>
      <c r="AW230" s="6"/>
    </row>
    <row r="231" spans="1:49" ht="15.75" customHeight="1">
      <c r="A231" s="6"/>
      <c r="B231" s="6"/>
      <c r="C231" s="6"/>
      <c r="D231" s="8"/>
      <c r="E231" s="6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8"/>
      <c r="AW231" s="6"/>
    </row>
    <row r="232" spans="1:49" ht="15.75" customHeight="1">
      <c r="A232" s="6"/>
      <c r="B232" s="6"/>
      <c r="C232" s="6"/>
      <c r="D232" s="8"/>
      <c r="E232" s="6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8"/>
      <c r="AW232" s="6"/>
    </row>
    <row r="233" spans="1:49" ht="15.75" customHeight="1">
      <c r="A233" s="6"/>
      <c r="B233" s="6"/>
      <c r="C233" s="6"/>
      <c r="D233" s="8"/>
      <c r="E233" s="6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8"/>
      <c r="AW233" s="6"/>
    </row>
    <row r="234" spans="1:49" ht="15.75" customHeight="1">
      <c r="A234" s="6"/>
      <c r="B234" s="6"/>
      <c r="C234" s="6"/>
      <c r="D234" s="8"/>
      <c r="E234" s="6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8"/>
      <c r="AW234" s="6"/>
    </row>
    <row r="235" spans="1:49" ht="15.75" customHeight="1">
      <c r="A235" s="6"/>
      <c r="B235" s="6"/>
      <c r="C235" s="6"/>
      <c r="D235" s="8"/>
      <c r="E235" s="6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8"/>
      <c r="AW235" s="6"/>
    </row>
    <row r="236" spans="1:49" ht="15.75" customHeight="1">
      <c r="A236" s="6"/>
      <c r="B236" s="6"/>
      <c r="C236" s="6"/>
      <c r="D236" s="8"/>
      <c r="E236" s="6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8"/>
      <c r="AW236" s="6"/>
    </row>
    <row r="237" spans="1:49" ht="15.75" customHeight="1">
      <c r="A237" s="6"/>
      <c r="B237" s="6"/>
      <c r="C237" s="6"/>
      <c r="D237" s="8"/>
      <c r="E237" s="6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8"/>
      <c r="AW237" s="6"/>
    </row>
    <row r="238" spans="1:49" ht="15.75" customHeight="1">
      <c r="A238" s="6"/>
      <c r="B238" s="6"/>
      <c r="C238" s="6"/>
      <c r="D238" s="8"/>
      <c r="E238" s="6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8"/>
      <c r="AW238" s="6"/>
    </row>
    <row r="239" spans="1:49" ht="15.75" customHeight="1">
      <c r="A239" s="6"/>
      <c r="B239" s="6"/>
      <c r="C239" s="6"/>
      <c r="D239" s="8"/>
      <c r="E239" s="6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8"/>
      <c r="AW239" s="6"/>
    </row>
    <row r="240" spans="1:49" ht="15.75" customHeight="1">
      <c r="A240" s="6"/>
      <c r="B240" s="6"/>
      <c r="C240" s="6"/>
      <c r="D240" s="8"/>
      <c r="E240" s="6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8"/>
      <c r="AW240" s="6"/>
    </row>
    <row r="241" spans="1:49" ht="15.75" customHeight="1">
      <c r="A241" s="6"/>
      <c r="B241" s="6"/>
      <c r="C241" s="6"/>
      <c r="D241" s="8"/>
      <c r="E241" s="6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8"/>
      <c r="AW241" s="6"/>
    </row>
    <row r="242" spans="1:49" ht="15.75" customHeight="1">
      <c r="A242" s="6"/>
      <c r="B242" s="6"/>
      <c r="C242" s="6"/>
      <c r="D242" s="8"/>
      <c r="E242" s="6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8"/>
      <c r="AW242" s="6"/>
    </row>
    <row r="243" spans="1:49" ht="15.75" customHeight="1">
      <c r="A243" s="6"/>
      <c r="B243" s="6"/>
      <c r="C243" s="6"/>
      <c r="D243" s="8"/>
      <c r="E243" s="6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8"/>
      <c r="AW243" s="6"/>
    </row>
    <row r="244" spans="1:49" ht="15.75" customHeight="1">
      <c r="A244" s="6"/>
      <c r="B244" s="6"/>
      <c r="C244" s="6"/>
      <c r="D244" s="8"/>
      <c r="E244" s="6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8"/>
      <c r="AW244" s="6"/>
    </row>
    <row r="245" spans="1:49" ht="15.75" customHeight="1">
      <c r="A245" s="6"/>
      <c r="B245" s="6"/>
      <c r="C245" s="6"/>
      <c r="D245" s="8"/>
      <c r="E245" s="6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8"/>
      <c r="AW245" s="6"/>
    </row>
    <row r="246" spans="1:49" ht="15.75" customHeight="1">
      <c r="A246" s="6"/>
      <c r="B246" s="6"/>
      <c r="C246" s="6"/>
      <c r="D246" s="8"/>
      <c r="E246" s="6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8"/>
      <c r="AW246" s="6"/>
    </row>
    <row r="247" spans="1:49" ht="15.75" customHeight="1">
      <c r="A247" s="6"/>
      <c r="B247" s="6"/>
      <c r="C247" s="6"/>
      <c r="D247" s="8"/>
      <c r="E247" s="6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8"/>
      <c r="AW247" s="6"/>
    </row>
    <row r="248" spans="1:49" ht="15.75" customHeight="1">
      <c r="A248" s="6"/>
      <c r="B248" s="6"/>
      <c r="C248" s="6"/>
      <c r="D248" s="8"/>
      <c r="E248" s="6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8"/>
      <c r="AW248" s="6"/>
    </row>
    <row r="249" spans="1:49" ht="15.75" customHeight="1">
      <c r="A249" s="6"/>
      <c r="B249" s="6"/>
      <c r="C249" s="6"/>
      <c r="D249" s="8"/>
      <c r="E249" s="6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8"/>
      <c r="AW249" s="6"/>
    </row>
    <row r="250" spans="1:49" ht="15.75" customHeight="1">
      <c r="A250" s="6"/>
      <c r="B250" s="6"/>
      <c r="C250" s="6"/>
      <c r="D250" s="8"/>
      <c r="E250" s="6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8"/>
      <c r="AW250" s="6"/>
    </row>
    <row r="251" spans="1:49" ht="15.75" customHeight="1">
      <c r="A251" s="6"/>
      <c r="B251" s="6"/>
      <c r="C251" s="6"/>
      <c r="D251" s="8"/>
      <c r="E251" s="6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8"/>
      <c r="AW251" s="6"/>
    </row>
    <row r="252" spans="1:49" ht="15.75" customHeight="1">
      <c r="A252" s="6"/>
      <c r="B252" s="6"/>
      <c r="C252" s="6"/>
      <c r="D252" s="8"/>
      <c r="E252" s="6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8"/>
      <c r="AW252" s="6"/>
    </row>
    <row r="253" spans="1:49" ht="15.75" customHeight="1">
      <c r="A253" s="6"/>
      <c r="B253" s="6"/>
      <c r="C253" s="6"/>
      <c r="D253" s="8"/>
      <c r="E253" s="6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8"/>
      <c r="AW253" s="6"/>
    </row>
    <row r="254" spans="1:49" ht="15.75" customHeight="1">
      <c r="A254" s="6"/>
      <c r="B254" s="6"/>
      <c r="C254" s="6"/>
      <c r="D254" s="8"/>
      <c r="E254" s="6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8"/>
      <c r="AW254" s="6"/>
    </row>
    <row r="255" spans="1:49" ht="15.75" customHeight="1">
      <c r="A255" s="6"/>
      <c r="B255" s="6"/>
      <c r="C255" s="6"/>
      <c r="D255" s="8"/>
      <c r="E255" s="6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8"/>
      <c r="AW255" s="6"/>
    </row>
    <row r="256" spans="1:49" ht="15.75" customHeight="1">
      <c r="A256" s="6"/>
      <c r="B256" s="6"/>
      <c r="C256" s="6"/>
      <c r="D256" s="8"/>
      <c r="E256" s="6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8"/>
      <c r="AW256" s="6"/>
    </row>
    <row r="257" spans="1:49" ht="15.75" customHeight="1">
      <c r="A257" s="6"/>
      <c r="B257" s="6"/>
      <c r="C257" s="6"/>
      <c r="D257" s="8"/>
      <c r="E257" s="6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8"/>
      <c r="AW257" s="6"/>
    </row>
    <row r="258" spans="1:49" ht="15.75" customHeight="1">
      <c r="A258" s="6"/>
      <c r="B258" s="6"/>
      <c r="C258" s="6"/>
      <c r="D258" s="8"/>
      <c r="E258" s="6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8"/>
      <c r="AW258" s="6"/>
    </row>
    <row r="259" spans="1:49" ht="15.75" customHeight="1">
      <c r="A259" s="6"/>
      <c r="B259" s="6"/>
      <c r="C259" s="6"/>
      <c r="D259" s="8"/>
      <c r="E259" s="6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8"/>
      <c r="AW259" s="6"/>
    </row>
    <row r="260" spans="1:49" ht="15.75" customHeight="1">
      <c r="A260" s="6"/>
      <c r="B260" s="6"/>
      <c r="C260" s="6"/>
      <c r="D260" s="8"/>
      <c r="E260" s="6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8"/>
      <c r="AW260" s="6"/>
    </row>
    <row r="261" spans="1:49" ht="15.75" customHeight="1">
      <c r="A261" s="6"/>
      <c r="B261" s="6"/>
      <c r="C261" s="6"/>
      <c r="D261" s="8"/>
      <c r="E261" s="6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8"/>
      <c r="AW261" s="6"/>
    </row>
    <row r="262" spans="1:49" ht="15.75" customHeight="1">
      <c r="A262" s="6"/>
      <c r="B262" s="6"/>
      <c r="C262" s="6"/>
      <c r="D262" s="8"/>
      <c r="E262" s="6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8"/>
      <c r="AW262" s="6"/>
    </row>
    <row r="263" spans="1:49" ht="15.75" customHeight="1">
      <c r="A263" s="6"/>
      <c r="B263" s="6"/>
      <c r="C263" s="6"/>
      <c r="D263" s="8"/>
      <c r="E263" s="6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8"/>
      <c r="AW263" s="6"/>
    </row>
    <row r="264" spans="1:49" ht="15.75" customHeight="1">
      <c r="A264" s="6"/>
      <c r="B264" s="6"/>
      <c r="C264" s="6"/>
      <c r="D264" s="8"/>
      <c r="E264" s="6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8"/>
      <c r="AW264" s="6"/>
    </row>
    <row r="265" spans="1:49" ht="15.75" customHeight="1">
      <c r="A265" s="6"/>
      <c r="B265" s="6"/>
      <c r="C265" s="6"/>
      <c r="D265" s="8"/>
      <c r="E265" s="6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8"/>
      <c r="AW265" s="6"/>
    </row>
    <row r="266" spans="1:49" ht="15.75" customHeight="1">
      <c r="A266" s="6"/>
      <c r="B266" s="6"/>
      <c r="C266" s="6"/>
      <c r="D266" s="8"/>
      <c r="E266" s="6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8"/>
      <c r="AW266" s="6"/>
    </row>
    <row r="267" spans="1:49" ht="15.75" customHeight="1">
      <c r="A267" s="6"/>
      <c r="B267" s="6"/>
      <c r="C267" s="6"/>
      <c r="D267" s="8"/>
      <c r="E267" s="6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8"/>
      <c r="AW267" s="6"/>
    </row>
    <row r="268" spans="1:49" ht="15.75" customHeight="1">
      <c r="A268" s="6"/>
      <c r="B268" s="6"/>
      <c r="C268" s="6"/>
      <c r="D268" s="8"/>
      <c r="E268" s="6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8"/>
      <c r="AW268" s="6"/>
    </row>
    <row r="269" spans="1:49" ht="15.75" customHeight="1">
      <c r="A269" s="6"/>
      <c r="B269" s="6"/>
      <c r="C269" s="6"/>
      <c r="D269" s="8"/>
      <c r="E269" s="6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8"/>
      <c r="AW269" s="6"/>
    </row>
    <row r="270" spans="1:49" ht="15.75" customHeight="1">
      <c r="A270" s="6"/>
      <c r="B270" s="6"/>
      <c r="C270" s="6"/>
      <c r="D270" s="8"/>
      <c r="E270" s="6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8"/>
      <c r="AW270" s="6"/>
    </row>
    <row r="271" spans="1:49" ht="15.75" customHeight="1">
      <c r="A271" s="6"/>
      <c r="B271" s="6"/>
      <c r="C271" s="6"/>
      <c r="D271" s="8"/>
      <c r="E271" s="6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8"/>
      <c r="AW271" s="6"/>
    </row>
    <row r="272" spans="1:49" ht="15.75" customHeight="1">
      <c r="A272" s="6"/>
      <c r="B272" s="6"/>
      <c r="C272" s="6"/>
      <c r="D272" s="8"/>
      <c r="E272" s="6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8"/>
      <c r="AW272" s="6"/>
    </row>
    <row r="273" spans="1:49" ht="15.75" customHeight="1">
      <c r="A273" s="6"/>
      <c r="B273" s="6"/>
      <c r="C273" s="6"/>
      <c r="D273" s="8"/>
      <c r="E273" s="6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8"/>
      <c r="AW273" s="6"/>
    </row>
    <row r="274" spans="1:49" ht="15.75" customHeight="1">
      <c r="A274" s="6"/>
      <c r="B274" s="6"/>
      <c r="C274" s="6"/>
      <c r="D274" s="8"/>
      <c r="E274" s="6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8"/>
      <c r="AW274" s="6"/>
    </row>
    <row r="275" spans="1:49" ht="15.75" customHeight="1">
      <c r="A275" s="6"/>
      <c r="B275" s="6"/>
      <c r="C275" s="6"/>
      <c r="D275" s="8"/>
      <c r="E275" s="6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8"/>
      <c r="AW275" s="6"/>
    </row>
    <row r="276" spans="1:49" ht="15.75" customHeight="1">
      <c r="A276" s="6"/>
      <c r="B276" s="6"/>
      <c r="C276" s="6"/>
      <c r="D276" s="8"/>
      <c r="E276" s="6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8"/>
      <c r="AW276" s="6"/>
    </row>
    <row r="277" spans="1:49" ht="15.75" customHeight="1">
      <c r="A277" s="6"/>
      <c r="B277" s="6"/>
      <c r="C277" s="6"/>
      <c r="D277" s="8"/>
      <c r="E277" s="6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8"/>
      <c r="AW277" s="6"/>
    </row>
    <row r="278" spans="1:49" ht="15.75" customHeight="1">
      <c r="A278" s="6"/>
      <c r="B278" s="6"/>
      <c r="C278" s="6"/>
      <c r="D278" s="8"/>
      <c r="E278" s="6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8"/>
      <c r="AW278" s="6"/>
    </row>
    <row r="279" spans="1:49" ht="15.75" customHeight="1">
      <c r="A279" s="6"/>
      <c r="B279" s="6"/>
      <c r="C279" s="6"/>
      <c r="D279" s="8"/>
      <c r="E279" s="6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8"/>
      <c r="AW279" s="6"/>
    </row>
    <row r="280" spans="1:49" ht="15.75" customHeight="1">
      <c r="A280" s="6"/>
      <c r="B280" s="6"/>
      <c r="C280" s="6"/>
      <c r="D280" s="8"/>
      <c r="E280" s="6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8"/>
      <c r="AW280" s="6"/>
    </row>
    <row r="281" spans="1:49" ht="15.75" customHeight="1">
      <c r="A281" s="6"/>
      <c r="B281" s="6"/>
      <c r="C281" s="6"/>
      <c r="D281" s="8"/>
      <c r="E281" s="6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8"/>
      <c r="AW281" s="6"/>
    </row>
    <row r="282" spans="1:49" ht="15.75" customHeight="1">
      <c r="A282" s="6"/>
      <c r="B282" s="6"/>
      <c r="C282" s="6"/>
      <c r="D282" s="8"/>
      <c r="E282" s="6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8"/>
      <c r="AW282" s="6"/>
    </row>
    <row r="283" spans="1:49" ht="15.75" customHeight="1">
      <c r="A283" s="6"/>
      <c r="B283" s="6"/>
      <c r="C283" s="6"/>
      <c r="D283" s="8"/>
      <c r="E283" s="6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8"/>
      <c r="AW283" s="6"/>
    </row>
    <row r="284" spans="1:49" ht="15.75" customHeight="1">
      <c r="A284" s="6"/>
      <c r="B284" s="6"/>
      <c r="C284" s="6"/>
      <c r="D284" s="8"/>
      <c r="E284" s="6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8"/>
      <c r="AW284" s="6"/>
    </row>
    <row r="285" spans="1:49" ht="15.75" customHeight="1">
      <c r="A285" s="6"/>
      <c r="B285" s="6"/>
      <c r="C285" s="6"/>
      <c r="D285" s="8"/>
      <c r="E285" s="6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8"/>
      <c r="AW285" s="6"/>
    </row>
    <row r="286" spans="1:49" ht="15.75" customHeight="1">
      <c r="A286" s="6"/>
      <c r="B286" s="6"/>
      <c r="C286" s="6"/>
      <c r="D286" s="8"/>
      <c r="E286" s="6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8"/>
      <c r="AW286" s="6"/>
    </row>
    <row r="287" spans="1:49" ht="15.75" customHeight="1">
      <c r="A287" s="6"/>
      <c r="B287" s="6"/>
      <c r="C287" s="6"/>
      <c r="D287" s="8"/>
      <c r="E287" s="6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8"/>
      <c r="AW287" s="6"/>
    </row>
    <row r="288" spans="1:49" ht="15.75" customHeight="1">
      <c r="A288" s="6"/>
      <c r="B288" s="6"/>
      <c r="C288" s="6"/>
      <c r="D288" s="8"/>
      <c r="E288" s="6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8"/>
      <c r="AW288" s="6"/>
    </row>
    <row r="289" spans="1:49" ht="15.75" customHeight="1">
      <c r="A289" s="6"/>
      <c r="B289" s="6"/>
      <c r="C289" s="6"/>
      <c r="D289" s="8"/>
      <c r="E289" s="6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8"/>
      <c r="AW289" s="6"/>
    </row>
    <row r="290" spans="1:49" ht="15.75" customHeight="1">
      <c r="A290" s="6"/>
      <c r="B290" s="6"/>
      <c r="C290" s="6"/>
      <c r="D290" s="8"/>
      <c r="E290" s="6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8"/>
      <c r="AW290" s="6"/>
    </row>
    <row r="291" spans="1:49" ht="15.75" customHeight="1">
      <c r="A291" s="6"/>
      <c r="B291" s="6"/>
      <c r="C291" s="6"/>
      <c r="D291" s="8"/>
      <c r="E291" s="6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8"/>
      <c r="AW291" s="6"/>
    </row>
    <row r="292" spans="1:49" ht="15.75" customHeight="1">
      <c r="A292" s="6"/>
      <c r="B292" s="6"/>
      <c r="C292" s="6"/>
      <c r="D292" s="8"/>
      <c r="E292" s="6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8"/>
      <c r="AW292" s="6"/>
    </row>
    <row r="293" spans="1:49" ht="15.75" customHeight="1">
      <c r="A293" s="6"/>
      <c r="B293" s="6"/>
      <c r="C293" s="6"/>
      <c r="D293" s="8"/>
      <c r="E293" s="6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8"/>
      <c r="AW293" s="6"/>
    </row>
    <row r="294" spans="1:49" ht="15.75" customHeight="1">
      <c r="A294" s="6"/>
      <c r="B294" s="6"/>
      <c r="C294" s="6"/>
      <c r="D294" s="8"/>
      <c r="E294" s="6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8"/>
      <c r="AW294" s="6"/>
    </row>
    <row r="295" spans="1:49" ht="15.75" customHeight="1">
      <c r="A295" s="6"/>
      <c r="B295" s="6"/>
      <c r="C295" s="6"/>
      <c r="D295" s="8"/>
      <c r="E295" s="6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8"/>
      <c r="AW295" s="6"/>
    </row>
    <row r="296" spans="1:49" ht="15.75" customHeight="1">
      <c r="A296" s="6"/>
      <c r="B296" s="6"/>
      <c r="C296" s="6"/>
      <c r="D296" s="8"/>
      <c r="E296" s="6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8"/>
      <c r="AW296" s="6"/>
    </row>
    <row r="297" spans="1:49" ht="15.75" customHeight="1">
      <c r="A297" s="6"/>
      <c r="B297" s="6"/>
      <c r="C297" s="6"/>
      <c r="D297" s="8"/>
      <c r="E297" s="6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8"/>
      <c r="AW297" s="6"/>
    </row>
    <row r="298" spans="1:49" ht="15.75" customHeight="1">
      <c r="A298" s="6"/>
      <c r="B298" s="6"/>
      <c r="C298" s="6"/>
      <c r="D298" s="8"/>
      <c r="E298" s="6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8"/>
      <c r="AW298" s="6"/>
    </row>
    <row r="299" spans="1:49" ht="15.75" customHeight="1">
      <c r="A299" s="6"/>
      <c r="B299" s="6"/>
      <c r="C299" s="6"/>
      <c r="D299" s="8"/>
      <c r="E299" s="6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8"/>
      <c r="AW299" s="6"/>
    </row>
    <row r="300" spans="1:49" ht="15.75" customHeight="1">
      <c r="A300" s="6"/>
      <c r="B300" s="6"/>
      <c r="C300" s="6"/>
      <c r="D300" s="8"/>
      <c r="E300" s="6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8"/>
      <c r="AW300" s="6"/>
    </row>
    <row r="301" spans="1:49" ht="15.75" customHeight="1">
      <c r="A301" s="6"/>
      <c r="B301" s="6"/>
      <c r="C301" s="6"/>
      <c r="D301" s="8"/>
      <c r="E301" s="6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8"/>
      <c r="AW301" s="6"/>
    </row>
    <row r="302" spans="1:49" ht="15.75" customHeight="1">
      <c r="A302" s="6"/>
      <c r="B302" s="6"/>
      <c r="C302" s="6"/>
      <c r="D302" s="8"/>
      <c r="E302" s="6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8"/>
      <c r="AW302" s="6"/>
    </row>
    <row r="303" spans="1:49" ht="15.75" customHeight="1">
      <c r="A303" s="6"/>
      <c r="B303" s="6"/>
      <c r="C303" s="6"/>
      <c r="D303" s="8"/>
      <c r="E303" s="6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8"/>
      <c r="AW303" s="6"/>
    </row>
    <row r="304" spans="1:49" ht="15.75" customHeight="1">
      <c r="A304" s="6"/>
      <c r="B304" s="6"/>
      <c r="C304" s="6"/>
      <c r="D304" s="8"/>
      <c r="E304" s="6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8"/>
      <c r="AW304" s="6"/>
    </row>
    <row r="305" spans="1:49" ht="15.75" customHeight="1">
      <c r="A305" s="6"/>
      <c r="B305" s="6"/>
      <c r="C305" s="6"/>
      <c r="D305" s="8"/>
      <c r="E305" s="6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8"/>
      <c r="AW305" s="6"/>
    </row>
    <row r="306" spans="1:49" ht="15.75" customHeight="1">
      <c r="A306" s="6"/>
      <c r="B306" s="6"/>
      <c r="C306" s="6"/>
      <c r="D306" s="8"/>
      <c r="E306" s="6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8"/>
      <c r="AW306" s="6"/>
    </row>
    <row r="307" spans="1:49" ht="15.75" customHeight="1">
      <c r="A307" s="6"/>
      <c r="B307" s="6"/>
      <c r="C307" s="6"/>
      <c r="D307" s="8"/>
      <c r="E307" s="6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8"/>
      <c r="AW307" s="6"/>
    </row>
    <row r="308" spans="1:49" ht="15.75" customHeight="1">
      <c r="A308" s="6"/>
      <c r="B308" s="6"/>
      <c r="C308" s="6"/>
      <c r="D308" s="8"/>
      <c r="E308" s="6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8"/>
      <c r="AW308" s="6"/>
    </row>
    <row r="309" spans="1:49" ht="15.75" customHeight="1">
      <c r="A309" s="6"/>
      <c r="B309" s="6"/>
      <c r="C309" s="6"/>
      <c r="D309" s="8"/>
      <c r="E309" s="6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8"/>
      <c r="AW309" s="6"/>
    </row>
    <row r="310" spans="1:49" ht="15.75" customHeight="1">
      <c r="A310" s="6"/>
      <c r="B310" s="6"/>
      <c r="C310" s="6"/>
      <c r="D310" s="8"/>
      <c r="E310" s="6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8"/>
      <c r="AW310" s="6"/>
    </row>
    <row r="311" spans="1:49" ht="15.75" customHeight="1">
      <c r="A311" s="6"/>
      <c r="B311" s="6"/>
      <c r="C311" s="6"/>
      <c r="D311" s="8"/>
      <c r="E311" s="6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8"/>
      <c r="AW311" s="6"/>
    </row>
    <row r="312" spans="1:49" ht="15.75" customHeight="1">
      <c r="A312" s="6"/>
      <c r="B312" s="6"/>
      <c r="C312" s="6"/>
      <c r="D312" s="8"/>
      <c r="E312" s="6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8"/>
      <c r="AW312" s="6"/>
    </row>
    <row r="313" spans="1:49" ht="15.75" customHeight="1">
      <c r="A313" s="6"/>
      <c r="B313" s="6"/>
      <c r="C313" s="6"/>
      <c r="D313" s="8"/>
      <c r="E313" s="6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8"/>
      <c r="AW313" s="6"/>
    </row>
    <row r="314" spans="1:49" ht="15.75" customHeight="1">
      <c r="A314" s="6"/>
      <c r="B314" s="6"/>
      <c r="C314" s="6"/>
      <c r="D314" s="8"/>
      <c r="E314" s="6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8"/>
      <c r="AW314" s="6"/>
    </row>
    <row r="315" spans="1:49" ht="15.75" customHeight="1">
      <c r="A315" s="6"/>
      <c r="B315" s="6"/>
      <c r="C315" s="6"/>
      <c r="D315" s="8"/>
      <c r="E315" s="6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8"/>
      <c r="AW315" s="6"/>
    </row>
    <row r="316" spans="1:49" ht="15.75" customHeight="1">
      <c r="A316" s="6"/>
      <c r="B316" s="6"/>
      <c r="C316" s="6"/>
      <c r="D316" s="8"/>
      <c r="E316" s="6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8"/>
      <c r="AW316" s="6"/>
    </row>
    <row r="317" spans="1:49" ht="15.75" customHeight="1">
      <c r="A317" s="6"/>
      <c r="B317" s="6"/>
      <c r="C317" s="6"/>
      <c r="D317" s="8"/>
      <c r="E317" s="6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8"/>
      <c r="AW317" s="6"/>
    </row>
    <row r="318" spans="1:49" ht="15.75" customHeight="1">
      <c r="A318" s="6"/>
      <c r="B318" s="6"/>
      <c r="C318" s="6"/>
      <c r="D318" s="8"/>
      <c r="E318" s="6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8"/>
      <c r="AW318" s="6"/>
    </row>
    <row r="319" spans="1:49" ht="15.75" customHeight="1">
      <c r="A319" s="6"/>
      <c r="B319" s="6"/>
      <c r="C319" s="6"/>
      <c r="D319" s="8"/>
      <c r="E319" s="6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8"/>
      <c r="AW319" s="6"/>
    </row>
    <row r="320" spans="1:49" ht="15.75" customHeight="1">
      <c r="A320" s="6"/>
      <c r="B320" s="6"/>
      <c r="C320" s="6"/>
      <c r="D320" s="8"/>
      <c r="E320" s="6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8"/>
      <c r="AW320" s="6"/>
    </row>
    <row r="321" spans="1:49" ht="15.75" customHeight="1">
      <c r="A321" s="6"/>
      <c r="B321" s="6"/>
      <c r="C321" s="6"/>
      <c r="D321" s="8"/>
      <c r="E321" s="6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8"/>
      <c r="AW321" s="6"/>
    </row>
    <row r="322" spans="1:49" ht="15.75" customHeight="1">
      <c r="A322" s="6"/>
      <c r="B322" s="6"/>
      <c r="C322" s="6"/>
      <c r="D322" s="8"/>
      <c r="E322" s="6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8"/>
      <c r="AW322" s="6"/>
    </row>
    <row r="323" spans="1:49" ht="15.75" customHeight="1">
      <c r="A323" s="6"/>
      <c r="B323" s="6"/>
      <c r="C323" s="6"/>
      <c r="D323" s="8"/>
      <c r="E323" s="6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8"/>
      <c r="AW323" s="6"/>
    </row>
    <row r="324" spans="1:49" ht="15.75" customHeight="1">
      <c r="A324" s="6"/>
      <c r="B324" s="6"/>
      <c r="C324" s="6"/>
      <c r="D324" s="8"/>
      <c r="E324" s="6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8"/>
      <c r="AW324" s="6"/>
    </row>
    <row r="325" spans="1:49" ht="15.75" customHeight="1">
      <c r="A325" s="6"/>
      <c r="B325" s="6"/>
      <c r="C325" s="6"/>
      <c r="D325" s="8"/>
      <c r="E325" s="6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8"/>
      <c r="AW325" s="6"/>
    </row>
    <row r="326" spans="1:49" ht="15.75" customHeight="1">
      <c r="A326" s="6"/>
      <c r="B326" s="6"/>
      <c r="C326" s="6"/>
      <c r="D326" s="8"/>
      <c r="E326" s="6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8"/>
      <c r="AW326" s="6"/>
    </row>
    <row r="327" spans="1:49" ht="15.75" customHeight="1">
      <c r="A327" s="6"/>
      <c r="B327" s="6"/>
      <c r="C327" s="6"/>
      <c r="D327" s="8"/>
      <c r="E327" s="6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8"/>
      <c r="AW327" s="6"/>
    </row>
    <row r="328" spans="1:49" ht="15.75" customHeight="1">
      <c r="A328" s="6"/>
      <c r="B328" s="6"/>
      <c r="C328" s="6"/>
      <c r="D328" s="8"/>
      <c r="E328" s="6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8"/>
      <c r="AW328" s="6"/>
    </row>
    <row r="329" spans="1:49" ht="15.75" customHeight="1">
      <c r="A329" s="6"/>
      <c r="B329" s="6"/>
      <c r="C329" s="6"/>
      <c r="D329" s="8"/>
      <c r="E329" s="6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8"/>
      <c r="AW329" s="6"/>
    </row>
    <row r="330" spans="1:49" ht="15.75" customHeight="1">
      <c r="A330" s="6"/>
      <c r="B330" s="6"/>
      <c r="C330" s="6"/>
      <c r="D330" s="8"/>
      <c r="E330" s="6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8"/>
      <c r="AW330" s="6"/>
    </row>
    <row r="331" spans="1:49" ht="15.75" customHeight="1">
      <c r="A331" s="6"/>
      <c r="B331" s="6"/>
      <c r="C331" s="6"/>
      <c r="D331" s="8"/>
      <c r="E331" s="6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8"/>
      <c r="AW331" s="6"/>
    </row>
    <row r="332" spans="1:49" ht="15.75" customHeight="1">
      <c r="A332" s="6"/>
      <c r="B332" s="6"/>
      <c r="C332" s="6"/>
      <c r="D332" s="8"/>
      <c r="E332" s="6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8"/>
      <c r="AW332" s="6"/>
    </row>
    <row r="333" spans="1:49" ht="15.75" customHeight="1">
      <c r="A333" s="6"/>
      <c r="B333" s="6"/>
      <c r="C333" s="6"/>
      <c r="D333" s="8"/>
      <c r="E333" s="6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8"/>
      <c r="AW333" s="6"/>
    </row>
    <row r="334" spans="1:49" ht="15.75" customHeight="1">
      <c r="A334" s="6"/>
      <c r="B334" s="6"/>
      <c r="C334" s="6"/>
      <c r="D334" s="8"/>
      <c r="E334" s="6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8"/>
      <c r="AW334" s="6"/>
    </row>
    <row r="335" spans="1:49" ht="15.75" customHeight="1">
      <c r="A335" s="6"/>
      <c r="B335" s="6"/>
      <c r="C335" s="6"/>
      <c r="D335" s="8"/>
      <c r="E335" s="6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8"/>
      <c r="AW335" s="6"/>
    </row>
    <row r="336" spans="1:49" ht="15.75" customHeight="1">
      <c r="A336" s="6"/>
      <c r="B336" s="6"/>
      <c r="C336" s="6"/>
      <c r="D336" s="8"/>
      <c r="E336" s="6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8"/>
      <c r="AW336" s="6"/>
    </row>
    <row r="337" spans="1:49" ht="15.75" customHeight="1">
      <c r="A337" s="6"/>
      <c r="B337" s="6"/>
      <c r="C337" s="6"/>
      <c r="D337" s="8"/>
      <c r="E337" s="6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8"/>
      <c r="AW337" s="6"/>
    </row>
    <row r="338" spans="1:49" ht="15.75" customHeight="1">
      <c r="A338" s="6"/>
      <c r="B338" s="6"/>
      <c r="C338" s="6"/>
      <c r="D338" s="8"/>
      <c r="E338" s="6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8"/>
      <c r="AW338" s="6"/>
    </row>
    <row r="339" spans="1:49" ht="15.75" customHeight="1">
      <c r="A339" s="6"/>
      <c r="B339" s="6"/>
      <c r="C339" s="6"/>
      <c r="D339" s="8"/>
      <c r="E339" s="6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8"/>
      <c r="AW339" s="6"/>
    </row>
    <row r="340" spans="1:49" ht="15.75" customHeight="1">
      <c r="A340" s="6"/>
      <c r="B340" s="6"/>
      <c r="C340" s="6"/>
      <c r="D340" s="8"/>
      <c r="E340" s="6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8"/>
      <c r="AW340" s="6"/>
    </row>
    <row r="341" spans="1:49" ht="15.75" customHeight="1">
      <c r="A341" s="6"/>
      <c r="B341" s="6"/>
      <c r="C341" s="6"/>
      <c r="D341" s="8"/>
      <c r="E341" s="6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8"/>
      <c r="AW341" s="6"/>
    </row>
    <row r="342" spans="1:49" ht="15.75" customHeight="1">
      <c r="A342" s="6"/>
      <c r="B342" s="6"/>
      <c r="C342" s="6"/>
      <c r="D342" s="8"/>
      <c r="E342" s="6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8"/>
      <c r="AW342" s="6"/>
    </row>
    <row r="343" spans="1:49" ht="15.75" customHeight="1">
      <c r="A343" s="6"/>
      <c r="B343" s="6"/>
      <c r="C343" s="6"/>
      <c r="D343" s="8"/>
      <c r="E343" s="6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8"/>
      <c r="AW343" s="6"/>
    </row>
    <row r="344" spans="1:49" ht="15.75" customHeight="1">
      <c r="A344" s="6"/>
      <c r="B344" s="6"/>
      <c r="C344" s="6"/>
      <c r="D344" s="8"/>
      <c r="E344" s="6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8"/>
      <c r="AW344" s="6"/>
    </row>
    <row r="345" spans="1:49" ht="15.75" customHeight="1">
      <c r="A345" s="6"/>
      <c r="B345" s="6"/>
      <c r="C345" s="6"/>
      <c r="D345" s="8"/>
      <c r="E345" s="6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8"/>
      <c r="AW345" s="6"/>
    </row>
    <row r="346" spans="1:49" ht="15.75" customHeight="1">
      <c r="A346" s="6"/>
      <c r="B346" s="6"/>
      <c r="C346" s="6"/>
      <c r="D346" s="8"/>
      <c r="E346" s="6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8"/>
      <c r="AW346" s="6"/>
    </row>
    <row r="347" spans="1:49" ht="15.75" customHeight="1">
      <c r="A347" s="6"/>
      <c r="B347" s="6"/>
      <c r="C347" s="6"/>
      <c r="D347" s="8"/>
      <c r="E347" s="6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8"/>
      <c r="AW347" s="6"/>
    </row>
    <row r="348" spans="1:49" ht="15.75" customHeight="1">
      <c r="A348" s="6"/>
      <c r="B348" s="6"/>
      <c r="C348" s="6"/>
      <c r="D348" s="8"/>
      <c r="E348" s="6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8"/>
      <c r="AW348" s="6"/>
    </row>
    <row r="349" spans="1:49" ht="15.75" customHeight="1">
      <c r="A349" s="6"/>
      <c r="B349" s="6"/>
      <c r="C349" s="6"/>
      <c r="D349" s="8"/>
      <c r="E349" s="6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8"/>
      <c r="AW349" s="6"/>
    </row>
    <row r="350" spans="1:49" ht="15.75" customHeight="1">
      <c r="A350" s="6"/>
      <c r="B350" s="6"/>
      <c r="C350" s="6"/>
      <c r="D350" s="8"/>
      <c r="E350" s="6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8"/>
      <c r="AW350" s="6"/>
    </row>
    <row r="351" spans="1:49" ht="15.75" customHeight="1">
      <c r="A351" s="6"/>
      <c r="B351" s="6"/>
      <c r="C351" s="6"/>
      <c r="D351" s="8"/>
      <c r="E351" s="6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8"/>
      <c r="AW351" s="6"/>
    </row>
    <row r="352" spans="1:49" ht="15.75" customHeight="1">
      <c r="A352" s="6"/>
      <c r="B352" s="6"/>
      <c r="C352" s="6"/>
      <c r="D352" s="8"/>
      <c r="E352" s="6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8"/>
      <c r="AW352" s="6"/>
    </row>
    <row r="353" spans="1:49" ht="15.75" customHeight="1">
      <c r="A353" s="6"/>
      <c r="B353" s="6"/>
      <c r="C353" s="6"/>
      <c r="D353" s="8"/>
      <c r="E353" s="6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8"/>
      <c r="AW353" s="6"/>
    </row>
    <row r="354" spans="1:49" ht="15.75" customHeight="1">
      <c r="A354" s="6"/>
      <c r="B354" s="6"/>
      <c r="C354" s="6"/>
      <c r="D354" s="8"/>
      <c r="E354" s="6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8"/>
      <c r="AW354" s="6"/>
    </row>
    <row r="355" spans="1:49" ht="15.75" customHeight="1">
      <c r="A355" s="6"/>
      <c r="B355" s="6"/>
      <c r="C355" s="6"/>
      <c r="D355" s="8"/>
      <c r="E355" s="6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8"/>
      <c r="AW355" s="6"/>
    </row>
    <row r="356" spans="1:49" ht="15.75" customHeight="1">
      <c r="A356" s="6"/>
      <c r="B356" s="6"/>
      <c r="C356" s="6"/>
      <c r="D356" s="8"/>
      <c r="E356" s="6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8"/>
      <c r="AW356" s="6"/>
    </row>
    <row r="357" spans="1:49" ht="15.75" customHeight="1">
      <c r="A357" s="6"/>
      <c r="B357" s="6"/>
      <c r="C357" s="6"/>
      <c r="D357" s="8"/>
      <c r="E357" s="6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8"/>
      <c r="AW357" s="6"/>
    </row>
    <row r="358" spans="1:49" ht="15.75" customHeight="1">
      <c r="A358" s="6"/>
      <c r="B358" s="6"/>
      <c r="C358" s="6"/>
      <c r="D358" s="8"/>
      <c r="E358" s="6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8"/>
      <c r="AW358" s="6"/>
    </row>
    <row r="359" spans="1:49" ht="15.75" customHeight="1">
      <c r="A359" s="6"/>
      <c r="B359" s="6"/>
      <c r="C359" s="6"/>
      <c r="D359" s="8"/>
      <c r="E359" s="6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8"/>
      <c r="AW359" s="6"/>
    </row>
    <row r="360" spans="1:49" ht="15.75" customHeight="1">
      <c r="A360" s="6"/>
      <c r="B360" s="6"/>
      <c r="C360" s="6"/>
      <c r="D360" s="8"/>
      <c r="E360" s="6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8"/>
      <c r="AW360" s="6"/>
    </row>
    <row r="361" spans="1:49" ht="15.75" customHeight="1">
      <c r="A361" s="6"/>
      <c r="B361" s="6"/>
      <c r="C361" s="6"/>
      <c r="D361" s="8"/>
      <c r="E361" s="6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8"/>
      <c r="AW361" s="6"/>
    </row>
    <row r="362" spans="1:49" ht="15.75" customHeight="1">
      <c r="A362" s="6"/>
      <c r="B362" s="6"/>
      <c r="C362" s="6"/>
      <c r="D362" s="8"/>
      <c r="E362" s="6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8"/>
      <c r="AW362" s="6"/>
    </row>
    <row r="363" spans="1:49" ht="15.75" customHeight="1">
      <c r="A363" s="6"/>
      <c r="B363" s="6"/>
      <c r="C363" s="6"/>
      <c r="D363" s="8"/>
      <c r="E363" s="6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8"/>
      <c r="AW363" s="6"/>
    </row>
    <row r="364" spans="1:49" ht="15.75" customHeight="1">
      <c r="A364" s="6"/>
      <c r="B364" s="6"/>
      <c r="C364" s="6"/>
      <c r="D364" s="8"/>
      <c r="E364" s="6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8"/>
      <c r="AW364" s="6"/>
    </row>
    <row r="365" spans="1:49" ht="15.75" customHeight="1">
      <c r="A365" s="6"/>
      <c r="B365" s="6"/>
      <c r="C365" s="6"/>
      <c r="D365" s="8"/>
      <c r="E365" s="6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8"/>
      <c r="AW365" s="6"/>
    </row>
    <row r="366" spans="1:49" ht="15.75" customHeight="1">
      <c r="A366" s="6"/>
      <c r="B366" s="6"/>
      <c r="C366" s="6"/>
      <c r="D366" s="8"/>
      <c r="E366" s="6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8"/>
      <c r="AW366" s="6"/>
    </row>
    <row r="367" spans="1:49" ht="15.75" customHeight="1">
      <c r="A367" s="6"/>
      <c r="B367" s="6"/>
      <c r="C367" s="6"/>
      <c r="D367" s="8"/>
      <c r="E367" s="6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8"/>
      <c r="AW367" s="6"/>
    </row>
    <row r="368" spans="1:49" ht="15.75" customHeight="1">
      <c r="A368" s="6"/>
      <c r="B368" s="6"/>
      <c r="C368" s="6"/>
      <c r="D368" s="8"/>
      <c r="E368" s="6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8"/>
      <c r="AW368" s="6"/>
    </row>
    <row r="369" spans="1:49" ht="15.75" customHeight="1">
      <c r="A369" s="6"/>
      <c r="B369" s="6"/>
      <c r="C369" s="6"/>
      <c r="D369" s="8"/>
      <c r="E369" s="6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8"/>
      <c r="AW369" s="6"/>
    </row>
    <row r="370" spans="1:49" ht="15.75" customHeight="1">
      <c r="A370" s="6"/>
      <c r="B370" s="6"/>
      <c r="C370" s="6"/>
      <c r="D370" s="8"/>
      <c r="E370" s="6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8"/>
      <c r="AW370" s="6"/>
    </row>
    <row r="371" spans="1:49" ht="15.75" customHeight="1">
      <c r="A371" s="6"/>
      <c r="B371" s="6"/>
      <c r="C371" s="6"/>
      <c r="D371" s="8"/>
      <c r="E371" s="6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8"/>
      <c r="AW371" s="6"/>
    </row>
    <row r="372" spans="1:49" ht="15.75" customHeight="1">
      <c r="A372" s="6"/>
      <c r="B372" s="6"/>
      <c r="C372" s="6"/>
      <c r="D372" s="8"/>
      <c r="E372" s="6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8"/>
      <c r="AW372" s="6"/>
    </row>
    <row r="373" spans="1:49" ht="15.75" customHeight="1">
      <c r="A373" s="6"/>
      <c r="B373" s="6"/>
      <c r="C373" s="6"/>
      <c r="D373" s="8"/>
      <c r="E373" s="6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8"/>
      <c r="AW373" s="6"/>
    </row>
    <row r="374" spans="1:49" ht="15.75" customHeight="1">
      <c r="A374" s="6"/>
      <c r="B374" s="6"/>
      <c r="C374" s="6"/>
      <c r="D374" s="8"/>
      <c r="E374" s="6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8"/>
      <c r="AW374" s="6"/>
    </row>
    <row r="375" spans="1:49" ht="15.75" customHeight="1">
      <c r="A375" s="6"/>
      <c r="B375" s="6"/>
      <c r="C375" s="6"/>
      <c r="D375" s="8"/>
      <c r="E375" s="6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8"/>
      <c r="AW375" s="6"/>
    </row>
    <row r="376" spans="1:49" ht="15.75" customHeight="1">
      <c r="A376" s="6"/>
      <c r="B376" s="6"/>
      <c r="C376" s="6"/>
      <c r="D376" s="8"/>
      <c r="E376" s="6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8"/>
      <c r="AW376" s="6"/>
    </row>
    <row r="377" spans="1:49" ht="15.75" customHeight="1">
      <c r="A377" s="6"/>
      <c r="B377" s="6"/>
      <c r="C377" s="6"/>
      <c r="D377" s="8"/>
      <c r="E377" s="6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8"/>
      <c r="AW377" s="6"/>
    </row>
    <row r="378" spans="1:49" ht="15.75" customHeight="1">
      <c r="A378" s="6"/>
      <c r="B378" s="6"/>
      <c r="C378" s="6"/>
      <c r="D378" s="8"/>
      <c r="E378" s="6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8"/>
      <c r="AW378" s="6"/>
    </row>
    <row r="379" spans="1:49" ht="15.75" customHeight="1">
      <c r="A379" s="6"/>
      <c r="B379" s="6"/>
      <c r="C379" s="6"/>
      <c r="D379" s="8"/>
      <c r="E379" s="6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8"/>
      <c r="AW379" s="6"/>
    </row>
    <row r="380" spans="1:49" ht="15.75" customHeight="1">
      <c r="A380" s="6"/>
      <c r="B380" s="6"/>
      <c r="C380" s="6"/>
      <c r="D380" s="8"/>
      <c r="E380" s="6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8"/>
      <c r="AW380" s="6"/>
    </row>
    <row r="381" spans="1:49" ht="15.75" customHeight="1">
      <c r="A381" s="6"/>
      <c r="B381" s="6"/>
      <c r="C381" s="6"/>
      <c r="D381" s="8"/>
      <c r="E381" s="6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8"/>
      <c r="AW381" s="6"/>
    </row>
    <row r="382" spans="1:49" ht="15.75" customHeight="1">
      <c r="A382" s="6"/>
      <c r="B382" s="6"/>
      <c r="C382" s="6"/>
      <c r="D382" s="8"/>
      <c r="E382" s="6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8"/>
      <c r="AW382" s="6"/>
    </row>
    <row r="383" spans="1:49" ht="15.75" customHeight="1">
      <c r="A383" s="6"/>
      <c r="B383" s="6"/>
      <c r="C383" s="6"/>
      <c r="D383" s="8"/>
      <c r="E383" s="6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8"/>
      <c r="AW383" s="6"/>
    </row>
    <row r="384" spans="1:49" ht="15.75" customHeight="1">
      <c r="A384" s="6"/>
      <c r="B384" s="6"/>
      <c r="C384" s="6"/>
      <c r="D384" s="8"/>
      <c r="E384" s="6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8"/>
      <c r="AW384" s="6"/>
    </row>
    <row r="385" spans="1:49" ht="15.75" customHeight="1">
      <c r="A385" s="6"/>
      <c r="B385" s="6"/>
      <c r="C385" s="6"/>
      <c r="D385" s="8"/>
      <c r="E385" s="6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8"/>
      <c r="AW385" s="6"/>
    </row>
    <row r="386" spans="1:49" ht="15.75" customHeight="1">
      <c r="A386" s="6"/>
      <c r="B386" s="6"/>
      <c r="C386" s="6"/>
      <c r="D386" s="8"/>
      <c r="E386" s="6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8"/>
      <c r="AW386" s="6"/>
    </row>
    <row r="387" spans="1:49" ht="15.75" customHeight="1">
      <c r="A387" s="6"/>
      <c r="B387" s="6"/>
      <c r="C387" s="6"/>
      <c r="D387" s="8"/>
      <c r="E387" s="6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8"/>
      <c r="AW387" s="6"/>
    </row>
    <row r="388" spans="1:49" ht="15.75" customHeight="1">
      <c r="A388" s="6"/>
      <c r="B388" s="6"/>
      <c r="C388" s="6"/>
      <c r="D388" s="8"/>
      <c r="E388" s="6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8"/>
      <c r="AW388" s="6"/>
    </row>
    <row r="389" spans="1:49" ht="15.75" customHeight="1">
      <c r="A389" s="6"/>
      <c r="B389" s="6"/>
      <c r="C389" s="6"/>
      <c r="D389" s="8"/>
      <c r="E389" s="6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8"/>
      <c r="AW389" s="6"/>
    </row>
    <row r="390" spans="1:49" ht="15.75" customHeight="1">
      <c r="A390" s="6"/>
      <c r="B390" s="6"/>
      <c r="C390" s="6"/>
      <c r="D390" s="8"/>
      <c r="E390" s="6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8"/>
      <c r="AW390" s="6"/>
    </row>
    <row r="391" spans="1:49" ht="15.75" customHeight="1">
      <c r="A391" s="6"/>
      <c r="B391" s="6"/>
      <c r="C391" s="6"/>
      <c r="D391" s="8"/>
      <c r="E391" s="6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8"/>
      <c r="AW391" s="6"/>
    </row>
    <row r="392" spans="1:49" ht="15.75" customHeight="1">
      <c r="A392" s="6"/>
      <c r="B392" s="6"/>
      <c r="C392" s="6"/>
      <c r="D392" s="8"/>
      <c r="E392" s="6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8"/>
      <c r="AW392" s="6"/>
    </row>
    <row r="393" spans="1:49" ht="15.75" customHeight="1">
      <c r="A393" s="6"/>
      <c r="B393" s="6"/>
      <c r="C393" s="6"/>
      <c r="D393" s="8"/>
      <c r="E393" s="6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8"/>
      <c r="AW393" s="6"/>
    </row>
    <row r="394" spans="1:49" ht="15.75" customHeight="1">
      <c r="A394" s="6"/>
      <c r="B394" s="6"/>
      <c r="C394" s="6"/>
      <c r="D394" s="8"/>
      <c r="E394" s="6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8"/>
      <c r="AW394" s="6"/>
    </row>
    <row r="395" spans="1:49" ht="15.75" customHeight="1">
      <c r="A395" s="6"/>
      <c r="B395" s="6"/>
      <c r="C395" s="6"/>
      <c r="D395" s="8"/>
      <c r="E395" s="6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8"/>
      <c r="AW395" s="6"/>
    </row>
    <row r="396" spans="1:49" ht="15.75" customHeight="1">
      <c r="A396" s="6"/>
      <c r="B396" s="6"/>
      <c r="C396" s="6"/>
      <c r="D396" s="8"/>
      <c r="E396" s="6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8"/>
      <c r="AW396" s="6"/>
    </row>
    <row r="397" spans="1:49" ht="15.75" customHeight="1">
      <c r="A397" s="6"/>
      <c r="B397" s="6"/>
      <c r="C397" s="6"/>
      <c r="D397" s="8"/>
      <c r="E397" s="6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8"/>
      <c r="AW397" s="6"/>
    </row>
    <row r="398" spans="1:49" ht="15.75" customHeight="1">
      <c r="A398" s="6"/>
      <c r="B398" s="6"/>
      <c r="C398" s="6"/>
      <c r="D398" s="8"/>
      <c r="E398" s="6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8"/>
      <c r="AW398" s="6"/>
    </row>
    <row r="399" spans="1:49" ht="15.75" customHeight="1">
      <c r="A399" s="6"/>
      <c r="B399" s="6"/>
      <c r="C399" s="6"/>
      <c r="D399" s="8"/>
      <c r="E399" s="6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8"/>
      <c r="AW399" s="6"/>
    </row>
    <row r="400" spans="1:49" ht="15.75" customHeight="1">
      <c r="A400" s="6"/>
      <c r="B400" s="6"/>
      <c r="C400" s="6"/>
      <c r="D400" s="8"/>
      <c r="E400" s="6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8"/>
      <c r="AW400" s="6"/>
    </row>
    <row r="401" spans="1:49" ht="15.75" customHeight="1">
      <c r="A401" s="6"/>
      <c r="B401" s="6"/>
      <c r="C401" s="6"/>
      <c r="D401" s="8"/>
      <c r="E401" s="6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8"/>
      <c r="AW401" s="6"/>
    </row>
    <row r="402" spans="1:49" ht="15.75" customHeight="1">
      <c r="A402" s="6"/>
      <c r="B402" s="6"/>
      <c r="C402" s="6"/>
      <c r="D402" s="8"/>
      <c r="E402" s="6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8"/>
      <c r="AW402" s="6"/>
    </row>
    <row r="403" spans="1:49" ht="15.75" customHeight="1">
      <c r="A403" s="6"/>
      <c r="B403" s="6"/>
      <c r="C403" s="6"/>
      <c r="D403" s="8"/>
      <c r="E403" s="6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8"/>
      <c r="AW403" s="6"/>
    </row>
    <row r="404" spans="1:49" ht="15.75" customHeight="1">
      <c r="A404" s="6"/>
      <c r="B404" s="6"/>
      <c r="C404" s="6"/>
      <c r="D404" s="8"/>
      <c r="E404" s="6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8"/>
      <c r="AW404" s="6"/>
    </row>
    <row r="405" spans="1:49" ht="15.75" customHeight="1">
      <c r="A405" s="6"/>
      <c r="B405" s="6"/>
      <c r="C405" s="6"/>
      <c r="D405" s="8"/>
      <c r="E405" s="6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8"/>
      <c r="AW405" s="6"/>
    </row>
    <row r="406" spans="1:49" ht="15.75" customHeight="1">
      <c r="A406" s="6"/>
      <c r="B406" s="6"/>
      <c r="C406" s="6"/>
      <c r="D406" s="8"/>
      <c r="E406" s="6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8"/>
      <c r="AW406" s="6"/>
    </row>
    <row r="407" spans="1:49" ht="15.75" customHeight="1">
      <c r="A407" s="6"/>
      <c r="B407" s="6"/>
      <c r="C407" s="6"/>
      <c r="D407" s="8"/>
      <c r="E407" s="6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8"/>
      <c r="AW407" s="6"/>
    </row>
    <row r="408" spans="1:49" ht="15.75" customHeight="1">
      <c r="A408" s="6"/>
      <c r="B408" s="6"/>
      <c r="C408" s="6"/>
      <c r="D408" s="8"/>
      <c r="E408" s="6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8"/>
      <c r="AW408" s="6"/>
    </row>
    <row r="409" spans="1:49" ht="15.75" customHeight="1">
      <c r="A409" s="6"/>
      <c r="B409" s="6"/>
      <c r="C409" s="6"/>
      <c r="D409" s="8"/>
      <c r="E409" s="6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8"/>
      <c r="AW409" s="6"/>
    </row>
    <row r="410" spans="1:49" ht="15.75" customHeight="1">
      <c r="A410" s="6"/>
      <c r="B410" s="6"/>
      <c r="C410" s="6"/>
      <c r="D410" s="8"/>
      <c r="E410" s="6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8"/>
      <c r="AW410" s="6"/>
    </row>
    <row r="411" spans="1:49" ht="15.75" customHeight="1">
      <c r="A411" s="6"/>
      <c r="B411" s="6"/>
      <c r="C411" s="6"/>
      <c r="D411" s="8"/>
      <c r="E411" s="6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8"/>
      <c r="AW411" s="6"/>
    </row>
    <row r="412" spans="1:49" ht="15.75" customHeight="1">
      <c r="A412" s="6"/>
      <c r="B412" s="6"/>
      <c r="C412" s="6"/>
      <c r="D412" s="8"/>
      <c r="E412" s="6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8"/>
      <c r="AW412" s="6"/>
    </row>
    <row r="413" spans="1:49" ht="15.75" customHeight="1">
      <c r="A413" s="6"/>
      <c r="B413" s="6"/>
      <c r="C413" s="6"/>
      <c r="D413" s="8"/>
      <c r="E413" s="6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8"/>
      <c r="AW413" s="6"/>
    </row>
    <row r="414" spans="1:49" ht="15.75" customHeight="1">
      <c r="A414" s="6"/>
      <c r="B414" s="6"/>
      <c r="C414" s="6"/>
      <c r="D414" s="8"/>
      <c r="E414" s="6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8"/>
      <c r="AW414" s="6"/>
    </row>
    <row r="415" spans="1:49" ht="15.75" customHeight="1">
      <c r="A415" s="6"/>
      <c r="B415" s="6"/>
      <c r="C415" s="6"/>
      <c r="D415" s="8"/>
      <c r="E415" s="6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8"/>
      <c r="AW415" s="6"/>
    </row>
    <row r="416" spans="1:49" ht="15.75" customHeight="1">
      <c r="A416" s="6"/>
      <c r="B416" s="6"/>
      <c r="C416" s="6"/>
      <c r="D416" s="8"/>
      <c r="E416" s="6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8"/>
      <c r="AW416" s="6"/>
    </row>
    <row r="417" spans="1:49" ht="15.75" customHeight="1">
      <c r="A417" s="6"/>
      <c r="B417" s="6"/>
      <c r="C417" s="6"/>
      <c r="D417" s="8"/>
      <c r="E417" s="6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8"/>
      <c r="AW417" s="6"/>
    </row>
    <row r="418" spans="1:49" ht="15.75" customHeight="1">
      <c r="A418" s="6"/>
      <c r="B418" s="6"/>
      <c r="C418" s="6"/>
      <c r="D418" s="8"/>
      <c r="E418" s="6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8"/>
      <c r="AW418" s="6"/>
    </row>
    <row r="419" spans="1:49" ht="15.75" customHeight="1">
      <c r="A419" s="6"/>
      <c r="B419" s="6"/>
      <c r="C419" s="6"/>
      <c r="D419" s="8"/>
      <c r="E419" s="6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8"/>
      <c r="AW419" s="6"/>
    </row>
    <row r="420" spans="1:49" ht="15.75" customHeight="1">
      <c r="A420" s="6"/>
      <c r="B420" s="6"/>
      <c r="C420" s="6"/>
      <c r="D420" s="8"/>
      <c r="E420" s="6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8"/>
      <c r="AW420" s="6"/>
    </row>
    <row r="421" spans="1:49" ht="15.75" customHeight="1">
      <c r="A421" s="6"/>
      <c r="B421" s="6"/>
      <c r="C421" s="6"/>
      <c r="D421" s="8"/>
      <c r="E421" s="6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8"/>
      <c r="AW421" s="6"/>
    </row>
    <row r="422" spans="1:49" ht="15.75" customHeight="1">
      <c r="A422" s="6"/>
      <c r="B422" s="6"/>
      <c r="C422" s="6"/>
      <c r="D422" s="8"/>
      <c r="E422" s="6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8"/>
      <c r="AW422" s="6"/>
    </row>
    <row r="423" spans="1:49" ht="15.75" customHeight="1">
      <c r="A423" s="6"/>
      <c r="B423" s="6"/>
      <c r="C423" s="6"/>
      <c r="D423" s="8"/>
      <c r="E423" s="6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8"/>
      <c r="AW423" s="6"/>
    </row>
    <row r="424" spans="1:49" ht="15.75" customHeight="1">
      <c r="A424" s="6"/>
      <c r="B424" s="6"/>
      <c r="C424" s="6"/>
      <c r="D424" s="8"/>
      <c r="E424" s="6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8"/>
      <c r="AW424" s="6"/>
    </row>
    <row r="425" spans="1:49" ht="15.75" customHeight="1">
      <c r="A425" s="6"/>
      <c r="B425" s="6"/>
      <c r="C425" s="6"/>
      <c r="D425" s="8"/>
      <c r="E425" s="6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8"/>
      <c r="AW425" s="6"/>
    </row>
    <row r="426" spans="1:49" ht="15.75" customHeight="1">
      <c r="A426" s="6"/>
      <c r="B426" s="6"/>
      <c r="C426" s="6"/>
      <c r="D426" s="8"/>
      <c r="E426" s="6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8"/>
      <c r="AW426" s="6"/>
    </row>
    <row r="427" spans="1:49" ht="15.75" customHeight="1">
      <c r="A427" s="6"/>
      <c r="B427" s="6"/>
      <c r="C427" s="6"/>
      <c r="D427" s="8"/>
      <c r="E427" s="6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8"/>
      <c r="AW427" s="6"/>
    </row>
    <row r="428" spans="1:49" ht="15.75" customHeight="1">
      <c r="A428" s="6"/>
      <c r="B428" s="6"/>
      <c r="C428" s="6"/>
      <c r="D428" s="8"/>
      <c r="E428" s="6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8"/>
      <c r="AW428" s="6"/>
    </row>
    <row r="429" spans="1:49" ht="15.75" customHeight="1">
      <c r="A429" s="6"/>
      <c r="B429" s="6"/>
      <c r="C429" s="6"/>
      <c r="D429" s="8"/>
      <c r="E429" s="6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8"/>
      <c r="AW429" s="6"/>
    </row>
    <row r="430" spans="1:49" ht="15.75" customHeight="1">
      <c r="A430" s="6"/>
      <c r="B430" s="6"/>
      <c r="C430" s="6"/>
      <c r="D430" s="8"/>
      <c r="E430" s="6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8"/>
      <c r="AW430" s="6"/>
    </row>
    <row r="431" spans="1:49" ht="15.75" customHeight="1">
      <c r="A431" s="6"/>
      <c r="B431" s="6"/>
      <c r="C431" s="6"/>
      <c r="D431" s="8"/>
      <c r="E431" s="6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8"/>
      <c r="AW431" s="6"/>
    </row>
    <row r="432" spans="1:49" ht="15.75" customHeight="1">
      <c r="A432" s="6"/>
      <c r="B432" s="6"/>
      <c r="C432" s="6"/>
      <c r="D432" s="8"/>
      <c r="E432" s="6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8"/>
      <c r="AW432" s="6"/>
    </row>
    <row r="433" spans="1:49" ht="15.75" customHeight="1">
      <c r="A433" s="6"/>
      <c r="B433" s="6"/>
      <c r="C433" s="6"/>
      <c r="D433" s="8"/>
      <c r="E433" s="6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8"/>
      <c r="AW433" s="6"/>
    </row>
    <row r="434" spans="1:49" ht="15.75" customHeight="1">
      <c r="A434" s="6"/>
      <c r="B434" s="6"/>
      <c r="C434" s="6"/>
      <c r="D434" s="8"/>
      <c r="E434" s="6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8"/>
      <c r="AW434" s="6"/>
    </row>
    <row r="435" spans="1:49" ht="15.75" customHeight="1">
      <c r="A435" s="6"/>
      <c r="B435" s="6"/>
      <c r="C435" s="6"/>
      <c r="D435" s="8"/>
      <c r="E435" s="6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8"/>
      <c r="AW435" s="6"/>
    </row>
    <row r="436" spans="1:49" ht="15.75" customHeight="1">
      <c r="A436" s="6"/>
      <c r="B436" s="6"/>
      <c r="C436" s="6"/>
      <c r="D436" s="8"/>
      <c r="E436" s="6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8"/>
      <c r="AW436" s="6"/>
    </row>
    <row r="437" spans="1:49" ht="15.75" customHeight="1">
      <c r="A437" s="6"/>
      <c r="B437" s="6"/>
      <c r="C437" s="6"/>
      <c r="D437" s="8"/>
      <c r="E437" s="6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8"/>
      <c r="AW437" s="6"/>
    </row>
    <row r="438" spans="1:49" ht="15.75" customHeight="1">
      <c r="A438" s="6"/>
      <c r="B438" s="6"/>
      <c r="C438" s="6"/>
      <c r="D438" s="8"/>
      <c r="E438" s="6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8"/>
      <c r="AW438" s="6"/>
    </row>
    <row r="439" spans="1:49" ht="15.75" customHeight="1">
      <c r="A439" s="6"/>
      <c r="B439" s="6"/>
      <c r="C439" s="6"/>
      <c r="D439" s="8"/>
      <c r="E439" s="6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8"/>
      <c r="AW439" s="6"/>
    </row>
    <row r="440" spans="1:49" ht="15.75" customHeight="1">
      <c r="A440" s="6"/>
      <c r="B440" s="6"/>
      <c r="C440" s="6"/>
      <c r="D440" s="8"/>
      <c r="E440" s="6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8"/>
      <c r="AW440" s="6"/>
    </row>
    <row r="441" spans="1:49" ht="15.75" customHeight="1">
      <c r="A441" s="6"/>
      <c r="B441" s="6"/>
      <c r="C441" s="6"/>
      <c r="D441" s="8"/>
      <c r="E441" s="6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8"/>
      <c r="AW441" s="6"/>
    </row>
    <row r="442" spans="1:49" ht="15.75" customHeight="1">
      <c r="A442" s="6"/>
      <c r="B442" s="6"/>
      <c r="C442" s="6"/>
      <c r="D442" s="8"/>
      <c r="E442" s="6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8"/>
      <c r="AW442" s="6"/>
    </row>
    <row r="443" spans="1:49" ht="15.75" customHeight="1">
      <c r="A443" s="6"/>
      <c r="B443" s="6"/>
      <c r="C443" s="6"/>
      <c r="D443" s="8"/>
      <c r="E443" s="6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8"/>
      <c r="AW443" s="6"/>
    </row>
    <row r="444" spans="1:49" ht="15.75" customHeight="1">
      <c r="A444" s="6"/>
      <c r="B444" s="6"/>
      <c r="C444" s="6"/>
      <c r="D444" s="8"/>
      <c r="E444" s="6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8"/>
      <c r="AW444" s="6"/>
    </row>
    <row r="445" spans="1:49" ht="15.75" customHeight="1">
      <c r="A445" s="6"/>
      <c r="B445" s="6"/>
      <c r="C445" s="6"/>
      <c r="D445" s="8"/>
      <c r="E445" s="6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8"/>
      <c r="AW445" s="6"/>
    </row>
    <row r="446" spans="1:49" ht="15.75" customHeight="1">
      <c r="A446" s="6"/>
      <c r="B446" s="6"/>
      <c r="C446" s="6"/>
      <c r="D446" s="8"/>
      <c r="E446" s="6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8"/>
      <c r="AW446" s="6"/>
    </row>
    <row r="447" spans="1:49" ht="15.75" customHeight="1">
      <c r="A447" s="6"/>
      <c r="B447" s="6"/>
      <c r="C447" s="6"/>
      <c r="D447" s="8"/>
      <c r="E447" s="6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8"/>
      <c r="AW447" s="6"/>
    </row>
    <row r="448" spans="1:49" ht="15.75" customHeight="1">
      <c r="A448" s="6"/>
      <c r="B448" s="6"/>
      <c r="C448" s="6"/>
      <c r="D448" s="8"/>
      <c r="E448" s="6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8"/>
      <c r="AW448" s="6"/>
    </row>
    <row r="449" spans="1:49" ht="15.75" customHeight="1">
      <c r="A449" s="6"/>
      <c r="B449" s="6"/>
      <c r="C449" s="6"/>
      <c r="D449" s="8"/>
      <c r="E449" s="6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8"/>
      <c r="AW449" s="6"/>
    </row>
    <row r="450" spans="1:49" ht="15.75" customHeight="1">
      <c r="A450" s="6"/>
      <c r="B450" s="6"/>
      <c r="C450" s="6"/>
      <c r="D450" s="8"/>
      <c r="E450" s="6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8"/>
      <c r="AW450" s="6"/>
    </row>
    <row r="451" spans="1:49" ht="15.75" customHeight="1">
      <c r="A451" s="6"/>
      <c r="B451" s="6"/>
      <c r="C451" s="6"/>
      <c r="D451" s="8"/>
      <c r="E451" s="6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8"/>
      <c r="AW451" s="6"/>
    </row>
    <row r="452" spans="1:49" ht="15.75" customHeight="1">
      <c r="A452" s="6"/>
      <c r="B452" s="6"/>
      <c r="C452" s="6"/>
      <c r="D452" s="8"/>
      <c r="E452" s="6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8"/>
      <c r="AW452" s="6"/>
    </row>
    <row r="453" spans="1:49" ht="15.75" customHeight="1">
      <c r="A453" s="6"/>
      <c r="B453" s="6"/>
      <c r="C453" s="6"/>
      <c r="D453" s="8"/>
      <c r="E453" s="6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8"/>
      <c r="AW453" s="6"/>
    </row>
    <row r="454" spans="1:49" ht="15.75" customHeight="1">
      <c r="A454" s="6"/>
      <c r="B454" s="6"/>
      <c r="C454" s="6"/>
      <c r="D454" s="8"/>
      <c r="E454" s="6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8"/>
      <c r="AW454" s="6"/>
    </row>
    <row r="455" spans="1:49" ht="15.75" customHeight="1">
      <c r="A455" s="6"/>
      <c r="B455" s="6"/>
      <c r="C455" s="6"/>
      <c r="D455" s="8"/>
      <c r="E455" s="6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8"/>
      <c r="AW455" s="6"/>
    </row>
    <row r="456" spans="1:49" ht="15.75" customHeight="1">
      <c r="A456" s="6"/>
      <c r="B456" s="6"/>
      <c r="C456" s="6"/>
      <c r="D456" s="8"/>
      <c r="E456" s="6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8"/>
      <c r="AW456" s="6"/>
    </row>
    <row r="457" spans="1:49" ht="15.75" customHeight="1">
      <c r="A457" s="6"/>
      <c r="B457" s="6"/>
      <c r="C457" s="6"/>
      <c r="D457" s="8"/>
      <c r="E457" s="6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8"/>
      <c r="AW457" s="6"/>
    </row>
    <row r="458" spans="1:49" ht="15.75" customHeight="1">
      <c r="A458" s="6"/>
      <c r="B458" s="6"/>
      <c r="C458" s="6"/>
      <c r="D458" s="8"/>
      <c r="E458" s="6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8"/>
      <c r="AW458" s="6"/>
    </row>
    <row r="459" spans="1:49" ht="15.75" customHeight="1">
      <c r="A459" s="6"/>
      <c r="B459" s="6"/>
      <c r="C459" s="6"/>
      <c r="D459" s="8"/>
      <c r="E459" s="6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8"/>
      <c r="AW459" s="6"/>
    </row>
    <row r="460" spans="1:49" ht="15.75" customHeight="1">
      <c r="A460" s="6"/>
      <c r="B460" s="6"/>
      <c r="C460" s="6"/>
      <c r="D460" s="8"/>
      <c r="E460" s="6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8"/>
      <c r="AW460" s="6"/>
    </row>
    <row r="461" spans="1:49" ht="15.75" customHeight="1">
      <c r="A461" s="6"/>
      <c r="B461" s="6"/>
      <c r="C461" s="6"/>
      <c r="D461" s="8"/>
      <c r="E461" s="6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8"/>
      <c r="AW461" s="6"/>
    </row>
    <row r="462" spans="1:49" ht="15.75" customHeight="1">
      <c r="A462" s="6"/>
      <c r="B462" s="6"/>
      <c r="C462" s="6"/>
      <c r="D462" s="8"/>
      <c r="E462" s="6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8"/>
      <c r="AW462" s="6"/>
    </row>
    <row r="463" spans="1:49" ht="15.75" customHeight="1">
      <c r="A463" s="6"/>
      <c r="B463" s="6"/>
      <c r="C463" s="6"/>
      <c r="D463" s="8"/>
      <c r="E463" s="6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8"/>
      <c r="AW463" s="6"/>
    </row>
    <row r="464" spans="1:49" ht="15.75" customHeight="1">
      <c r="A464" s="6"/>
      <c r="B464" s="6"/>
      <c r="C464" s="6"/>
      <c r="D464" s="8"/>
      <c r="E464" s="6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8"/>
      <c r="AW464" s="6"/>
    </row>
    <row r="465" spans="1:49" ht="15.75" customHeight="1">
      <c r="A465" s="6"/>
      <c r="B465" s="6"/>
      <c r="C465" s="6"/>
      <c r="D465" s="8"/>
      <c r="E465" s="6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8"/>
      <c r="AW465" s="6"/>
    </row>
    <row r="466" spans="1:49" ht="15.75" customHeight="1">
      <c r="A466" s="6"/>
      <c r="B466" s="6"/>
      <c r="C466" s="6"/>
      <c r="D466" s="8"/>
      <c r="E466" s="6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8"/>
      <c r="AW466" s="6"/>
    </row>
    <row r="467" spans="1:49" ht="15.75" customHeight="1">
      <c r="A467" s="6"/>
      <c r="B467" s="6"/>
      <c r="C467" s="6"/>
      <c r="D467" s="8"/>
      <c r="E467" s="6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8"/>
      <c r="AW467" s="6"/>
    </row>
    <row r="468" spans="1:49" ht="15.75" customHeight="1">
      <c r="A468" s="6"/>
      <c r="B468" s="6"/>
      <c r="C468" s="6"/>
      <c r="D468" s="8"/>
      <c r="E468" s="6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8"/>
      <c r="AW468" s="6"/>
    </row>
    <row r="469" spans="1:49" ht="15.75" customHeight="1">
      <c r="A469" s="6"/>
      <c r="B469" s="6"/>
      <c r="C469" s="6"/>
      <c r="D469" s="8"/>
      <c r="E469" s="6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8"/>
      <c r="AW469" s="6"/>
    </row>
    <row r="470" spans="1:49" ht="15.75" customHeight="1">
      <c r="A470" s="6"/>
      <c r="B470" s="6"/>
      <c r="C470" s="6"/>
      <c r="D470" s="8"/>
      <c r="E470" s="6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8"/>
      <c r="AW470" s="6"/>
    </row>
    <row r="471" spans="1:49" ht="15.75" customHeight="1">
      <c r="A471" s="6"/>
      <c r="B471" s="6"/>
      <c r="C471" s="6"/>
      <c r="D471" s="8"/>
      <c r="E471" s="6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8"/>
      <c r="AW471" s="6"/>
    </row>
    <row r="472" spans="1:49" ht="15.75" customHeight="1">
      <c r="A472" s="6"/>
      <c r="B472" s="6"/>
      <c r="C472" s="6"/>
      <c r="D472" s="8"/>
      <c r="E472" s="6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8"/>
      <c r="AW472" s="6"/>
    </row>
    <row r="473" spans="1:49" ht="15.75" customHeight="1">
      <c r="A473" s="6"/>
      <c r="B473" s="6"/>
      <c r="C473" s="6"/>
      <c r="D473" s="8"/>
      <c r="E473" s="6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8"/>
      <c r="AW473" s="6"/>
    </row>
    <row r="474" spans="1:49" ht="15.75" customHeight="1">
      <c r="A474" s="6"/>
      <c r="B474" s="6"/>
      <c r="C474" s="6"/>
      <c r="D474" s="8"/>
      <c r="E474" s="6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8"/>
      <c r="AW474" s="6"/>
    </row>
    <row r="475" spans="1:49" ht="15.75" customHeight="1">
      <c r="A475" s="6"/>
      <c r="B475" s="6"/>
      <c r="C475" s="6"/>
      <c r="D475" s="8"/>
      <c r="E475" s="6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8"/>
      <c r="AW475" s="6"/>
    </row>
    <row r="476" spans="1:49" ht="15.75" customHeight="1">
      <c r="A476" s="6"/>
      <c r="B476" s="6"/>
      <c r="C476" s="6"/>
      <c r="D476" s="8"/>
      <c r="E476" s="6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8"/>
      <c r="AW476" s="6"/>
    </row>
    <row r="477" spans="1:49" ht="15.75" customHeight="1">
      <c r="A477" s="6"/>
      <c r="B477" s="6"/>
      <c r="C477" s="6"/>
      <c r="D477" s="8"/>
      <c r="E477" s="6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8"/>
      <c r="AW477" s="6"/>
    </row>
    <row r="478" spans="1:49" ht="15.75" customHeight="1">
      <c r="A478" s="6"/>
      <c r="B478" s="6"/>
      <c r="C478" s="6"/>
      <c r="D478" s="8"/>
      <c r="E478" s="6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8"/>
      <c r="AW478" s="6"/>
    </row>
    <row r="479" spans="1:49" ht="15.75" customHeight="1">
      <c r="A479" s="6"/>
      <c r="B479" s="6"/>
      <c r="C479" s="6"/>
      <c r="D479" s="8"/>
      <c r="E479" s="6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8"/>
      <c r="AW479" s="6"/>
    </row>
    <row r="480" spans="1:49" ht="15.75" customHeight="1">
      <c r="A480" s="6"/>
      <c r="B480" s="6"/>
      <c r="C480" s="6"/>
      <c r="D480" s="8"/>
      <c r="E480" s="6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8"/>
      <c r="AW480" s="6"/>
    </row>
    <row r="481" spans="1:49" ht="15.75" customHeight="1">
      <c r="A481" s="6"/>
      <c r="B481" s="6"/>
      <c r="C481" s="6"/>
      <c r="D481" s="8"/>
      <c r="E481" s="6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8"/>
      <c r="AW481" s="6"/>
    </row>
    <row r="482" spans="1:49" ht="15.75" customHeight="1">
      <c r="A482" s="6"/>
      <c r="B482" s="6"/>
      <c r="C482" s="6"/>
      <c r="D482" s="8"/>
      <c r="E482" s="6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8"/>
      <c r="AW482" s="6"/>
    </row>
    <row r="483" spans="1:49" ht="15.75" customHeight="1">
      <c r="A483" s="6"/>
      <c r="B483" s="6"/>
      <c r="C483" s="6"/>
      <c r="D483" s="8"/>
      <c r="E483" s="6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8"/>
      <c r="AW483" s="6"/>
    </row>
    <row r="484" spans="1:49" ht="15.75" customHeight="1">
      <c r="A484" s="6"/>
      <c r="B484" s="6"/>
      <c r="C484" s="6"/>
      <c r="D484" s="8"/>
      <c r="E484" s="6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8"/>
      <c r="AW484" s="6"/>
    </row>
    <row r="485" spans="1:49" ht="15.75" customHeight="1">
      <c r="A485" s="6"/>
      <c r="B485" s="6"/>
      <c r="C485" s="6"/>
      <c r="D485" s="8"/>
      <c r="E485" s="6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8"/>
      <c r="AW485" s="6"/>
    </row>
    <row r="486" spans="1:49" ht="15.75" customHeight="1">
      <c r="A486" s="6"/>
      <c r="B486" s="6"/>
      <c r="C486" s="6"/>
      <c r="D486" s="8"/>
      <c r="E486" s="6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8"/>
      <c r="AW486" s="6"/>
    </row>
    <row r="487" spans="1:49" ht="15.75" customHeight="1">
      <c r="A487" s="6"/>
      <c r="B487" s="6"/>
      <c r="C487" s="6"/>
      <c r="D487" s="8"/>
      <c r="E487" s="6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8"/>
      <c r="AW487" s="6"/>
    </row>
    <row r="488" spans="1:49" ht="15.75" customHeight="1">
      <c r="A488" s="6"/>
      <c r="B488" s="6"/>
      <c r="C488" s="6"/>
      <c r="D488" s="8"/>
      <c r="E488" s="6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8"/>
      <c r="AW488" s="6"/>
    </row>
    <row r="489" spans="1:49" ht="15.75" customHeight="1">
      <c r="A489" s="6"/>
      <c r="B489" s="6"/>
      <c r="C489" s="6"/>
      <c r="D489" s="8"/>
      <c r="E489" s="6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8"/>
      <c r="AW489" s="6"/>
    </row>
    <row r="490" spans="1:49" ht="15.75" customHeight="1">
      <c r="A490" s="6"/>
      <c r="B490" s="6"/>
      <c r="C490" s="6"/>
      <c r="D490" s="8"/>
      <c r="E490" s="6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8"/>
      <c r="AW490" s="6"/>
    </row>
    <row r="491" spans="1:49" ht="15.75" customHeight="1">
      <c r="A491" s="6"/>
      <c r="B491" s="6"/>
      <c r="C491" s="6"/>
      <c r="D491" s="8"/>
      <c r="E491" s="6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8"/>
      <c r="AW491" s="6"/>
    </row>
    <row r="492" spans="1:49" ht="15.75" customHeight="1">
      <c r="A492" s="6"/>
      <c r="B492" s="6"/>
      <c r="C492" s="6"/>
      <c r="D492" s="8"/>
      <c r="E492" s="6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8"/>
      <c r="AW492" s="6"/>
    </row>
    <row r="493" spans="1:49" ht="15.75" customHeight="1">
      <c r="A493" s="6"/>
      <c r="B493" s="6"/>
      <c r="C493" s="6"/>
      <c r="D493" s="8"/>
      <c r="E493" s="6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8"/>
      <c r="AW493" s="6"/>
    </row>
    <row r="494" spans="1:49" ht="15.75" customHeight="1">
      <c r="A494" s="6"/>
      <c r="B494" s="6"/>
      <c r="C494" s="6"/>
      <c r="D494" s="8"/>
      <c r="E494" s="6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8"/>
      <c r="AW494" s="6"/>
    </row>
    <row r="495" spans="1:49" ht="15.75" customHeight="1">
      <c r="A495" s="6"/>
      <c r="B495" s="6"/>
      <c r="C495" s="6"/>
      <c r="D495" s="8"/>
      <c r="E495" s="6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8"/>
      <c r="AW495" s="6"/>
    </row>
    <row r="496" spans="1:49" ht="15.75" customHeight="1">
      <c r="A496" s="6"/>
      <c r="B496" s="6"/>
      <c r="C496" s="6"/>
      <c r="D496" s="8"/>
      <c r="E496" s="6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8"/>
      <c r="AW496" s="6"/>
    </row>
    <row r="497" spans="1:49" ht="15.75" customHeight="1">
      <c r="A497" s="6"/>
      <c r="B497" s="6"/>
      <c r="C497" s="6"/>
      <c r="D497" s="8"/>
      <c r="E497" s="6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8"/>
      <c r="AW497" s="6"/>
    </row>
    <row r="498" spans="1:49" ht="15.75" customHeight="1">
      <c r="A498" s="6"/>
      <c r="B498" s="6"/>
      <c r="C498" s="6"/>
      <c r="D498" s="8"/>
      <c r="E498" s="6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8"/>
      <c r="AW498" s="6"/>
    </row>
    <row r="499" spans="1:49" ht="15.75" customHeight="1">
      <c r="A499" s="6"/>
      <c r="B499" s="6"/>
      <c r="C499" s="6"/>
      <c r="D499" s="8"/>
      <c r="E499" s="6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8"/>
      <c r="AW499" s="6"/>
    </row>
    <row r="500" spans="1:49" ht="15.75" customHeight="1">
      <c r="A500" s="6"/>
      <c r="B500" s="6"/>
      <c r="C500" s="6"/>
      <c r="D500" s="8"/>
      <c r="E500" s="6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8"/>
      <c r="AW500" s="6"/>
    </row>
    <row r="501" spans="1:49" ht="15.75" customHeight="1">
      <c r="A501" s="6"/>
      <c r="B501" s="6"/>
      <c r="C501" s="6"/>
      <c r="D501" s="8"/>
      <c r="E501" s="6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8"/>
      <c r="AW501" s="6"/>
    </row>
    <row r="502" spans="1:49" ht="15.75" customHeight="1">
      <c r="A502" s="6"/>
      <c r="B502" s="6"/>
      <c r="C502" s="6"/>
      <c r="D502" s="8"/>
      <c r="E502" s="6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8"/>
      <c r="AW502" s="6"/>
    </row>
    <row r="503" spans="1:49" ht="15.75" customHeight="1">
      <c r="A503" s="6"/>
      <c r="B503" s="6"/>
      <c r="C503" s="6"/>
      <c r="D503" s="8"/>
      <c r="E503" s="6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8"/>
      <c r="AW503" s="6"/>
    </row>
    <row r="504" spans="1:49" ht="15.75" customHeight="1">
      <c r="A504" s="6"/>
      <c r="B504" s="6"/>
      <c r="C504" s="6"/>
      <c r="D504" s="8"/>
      <c r="E504" s="6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8"/>
      <c r="AW504" s="6"/>
    </row>
    <row r="505" spans="1:49" ht="15.75" customHeight="1">
      <c r="A505" s="6"/>
      <c r="B505" s="6"/>
      <c r="C505" s="6"/>
      <c r="D505" s="8"/>
      <c r="E505" s="6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8"/>
      <c r="AW505" s="6"/>
    </row>
    <row r="506" spans="1:49" ht="15.75" customHeight="1">
      <c r="A506" s="6"/>
      <c r="B506" s="6"/>
      <c r="C506" s="6"/>
      <c r="D506" s="8"/>
      <c r="E506" s="6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8"/>
      <c r="AW506" s="6"/>
    </row>
    <row r="507" spans="1:49" ht="15.75" customHeight="1">
      <c r="A507" s="6"/>
      <c r="B507" s="6"/>
      <c r="C507" s="6"/>
      <c r="D507" s="8"/>
      <c r="E507" s="6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8"/>
      <c r="AW507" s="6"/>
    </row>
    <row r="508" spans="1:49" ht="15.75" customHeight="1">
      <c r="A508" s="6"/>
      <c r="B508" s="6"/>
      <c r="C508" s="6"/>
      <c r="D508" s="8"/>
      <c r="E508" s="6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8"/>
      <c r="AW508" s="6"/>
    </row>
    <row r="509" spans="1:49" ht="15.75" customHeight="1">
      <c r="A509" s="6"/>
      <c r="B509" s="6"/>
      <c r="C509" s="6"/>
      <c r="D509" s="8"/>
      <c r="E509" s="6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8"/>
      <c r="AW509" s="6"/>
    </row>
    <row r="510" spans="1:49" ht="15.75" customHeight="1">
      <c r="A510" s="6"/>
      <c r="B510" s="6"/>
      <c r="C510" s="6"/>
      <c r="D510" s="8"/>
      <c r="E510" s="6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8"/>
      <c r="AW510" s="6"/>
    </row>
    <row r="511" spans="1:49" ht="15.75" customHeight="1">
      <c r="A511" s="6"/>
      <c r="B511" s="6"/>
      <c r="C511" s="6"/>
      <c r="D511" s="8"/>
      <c r="E511" s="6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8"/>
      <c r="AW511" s="6"/>
    </row>
    <row r="512" spans="1:49" ht="15.75" customHeight="1">
      <c r="A512" s="6"/>
      <c r="B512" s="6"/>
      <c r="C512" s="6"/>
      <c r="D512" s="8"/>
      <c r="E512" s="6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8"/>
      <c r="AW512" s="6"/>
    </row>
    <row r="513" spans="1:49" ht="15.75" customHeight="1">
      <c r="A513" s="6"/>
      <c r="B513" s="6"/>
      <c r="C513" s="6"/>
      <c r="D513" s="8"/>
      <c r="E513" s="6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8"/>
      <c r="AW513" s="6"/>
    </row>
    <row r="514" spans="1:49" ht="15.75" customHeight="1">
      <c r="A514" s="6"/>
      <c r="B514" s="6"/>
      <c r="C514" s="6"/>
      <c r="D514" s="8"/>
      <c r="E514" s="6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8"/>
      <c r="AW514" s="6"/>
    </row>
    <row r="515" spans="1:49" ht="15.75" customHeight="1">
      <c r="A515" s="6"/>
      <c r="B515" s="6"/>
      <c r="C515" s="6"/>
      <c r="D515" s="8"/>
      <c r="E515" s="6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8"/>
      <c r="AW515" s="6"/>
    </row>
    <row r="516" spans="1:49" ht="15.75" customHeight="1">
      <c r="A516" s="6"/>
      <c r="B516" s="6"/>
      <c r="C516" s="6"/>
      <c r="D516" s="8"/>
      <c r="E516" s="6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8"/>
      <c r="AW516" s="6"/>
    </row>
    <row r="517" spans="1:49" ht="15.75" customHeight="1">
      <c r="A517" s="6"/>
      <c r="B517" s="6"/>
      <c r="C517" s="6"/>
      <c r="D517" s="8"/>
      <c r="E517" s="6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8"/>
      <c r="AW517" s="6"/>
    </row>
    <row r="518" spans="1:49" ht="15.75" customHeight="1">
      <c r="A518" s="6"/>
      <c r="B518" s="6"/>
      <c r="C518" s="6"/>
      <c r="D518" s="8"/>
      <c r="E518" s="6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8"/>
      <c r="AW518" s="6"/>
    </row>
    <row r="519" spans="1:49" ht="15.75" customHeight="1">
      <c r="A519" s="6"/>
      <c r="B519" s="6"/>
      <c r="C519" s="6"/>
      <c r="D519" s="8"/>
      <c r="E519" s="6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8"/>
      <c r="AW519" s="6"/>
    </row>
    <row r="520" spans="1:49" ht="15.75" customHeight="1">
      <c r="A520" s="6"/>
      <c r="B520" s="6"/>
      <c r="C520" s="6"/>
      <c r="D520" s="8"/>
      <c r="E520" s="6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8"/>
      <c r="AW520" s="6"/>
    </row>
    <row r="521" spans="1:49" ht="15.75" customHeight="1">
      <c r="A521" s="6"/>
      <c r="B521" s="6"/>
      <c r="C521" s="6"/>
      <c r="D521" s="8"/>
      <c r="E521" s="6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8"/>
      <c r="AW521" s="6"/>
    </row>
    <row r="522" spans="1:49" ht="15.75" customHeight="1">
      <c r="A522" s="6"/>
      <c r="B522" s="6"/>
      <c r="C522" s="6"/>
      <c r="D522" s="8"/>
      <c r="E522" s="6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8"/>
      <c r="AW522" s="6"/>
    </row>
    <row r="523" spans="1:49" ht="15.75" customHeight="1">
      <c r="A523" s="6"/>
      <c r="B523" s="6"/>
      <c r="C523" s="6"/>
      <c r="D523" s="8"/>
      <c r="E523" s="6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8"/>
      <c r="AW523" s="6"/>
    </row>
    <row r="524" spans="1:49" ht="15.75" customHeight="1">
      <c r="A524" s="6"/>
      <c r="B524" s="6"/>
      <c r="C524" s="6"/>
      <c r="D524" s="8"/>
      <c r="E524" s="6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8"/>
      <c r="AW524" s="6"/>
    </row>
    <row r="525" spans="1:49" ht="15.75" customHeight="1">
      <c r="A525" s="6"/>
      <c r="B525" s="6"/>
      <c r="C525" s="6"/>
      <c r="D525" s="8"/>
      <c r="E525" s="6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8"/>
      <c r="AW525" s="6"/>
    </row>
    <row r="526" spans="1:49" ht="15.75" customHeight="1">
      <c r="A526" s="6"/>
      <c r="B526" s="6"/>
      <c r="C526" s="6"/>
      <c r="D526" s="8"/>
      <c r="E526" s="6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8"/>
      <c r="AW526" s="6"/>
    </row>
    <row r="527" spans="1:49" ht="15.75" customHeight="1">
      <c r="A527" s="6"/>
      <c r="B527" s="6"/>
      <c r="C527" s="6"/>
      <c r="D527" s="8"/>
      <c r="E527" s="6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8"/>
      <c r="AW527" s="6"/>
    </row>
    <row r="528" spans="1:49" ht="15.75" customHeight="1">
      <c r="A528" s="6"/>
      <c r="B528" s="6"/>
      <c r="C528" s="6"/>
      <c r="D528" s="8"/>
      <c r="E528" s="6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8"/>
      <c r="AW528" s="6"/>
    </row>
    <row r="529" spans="1:49" ht="15.75" customHeight="1">
      <c r="A529" s="6"/>
      <c r="B529" s="6"/>
      <c r="C529" s="6"/>
      <c r="D529" s="8"/>
      <c r="E529" s="6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8"/>
      <c r="AW529" s="6"/>
    </row>
    <row r="530" spans="1:49" ht="15.75" customHeight="1">
      <c r="A530" s="6"/>
      <c r="B530" s="6"/>
      <c r="C530" s="6"/>
      <c r="D530" s="8"/>
      <c r="E530" s="6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8"/>
      <c r="AW530" s="6"/>
    </row>
    <row r="531" spans="1:49" ht="15.75" customHeight="1">
      <c r="A531" s="6"/>
      <c r="B531" s="6"/>
      <c r="C531" s="6"/>
      <c r="D531" s="8"/>
      <c r="E531" s="6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8"/>
      <c r="AW531" s="6"/>
    </row>
    <row r="532" spans="1:49" ht="15.75" customHeight="1">
      <c r="A532" s="6"/>
      <c r="B532" s="6"/>
      <c r="C532" s="6"/>
      <c r="D532" s="8"/>
      <c r="E532" s="6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8"/>
      <c r="AW532" s="6"/>
    </row>
    <row r="533" spans="1:49" ht="15.75" customHeight="1">
      <c r="A533" s="6"/>
      <c r="B533" s="6"/>
      <c r="C533" s="6"/>
      <c r="D533" s="8"/>
      <c r="E533" s="6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8"/>
      <c r="AW533" s="6"/>
    </row>
    <row r="534" spans="1:49" ht="15.75" customHeight="1">
      <c r="A534" s="6"/>
      <c r="B534" s="6"/>
      <c r="C534" s="6"/>
      <c r="D534" s="8"/>
      <c r="E534" s="6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8"/>
      <c r="AW534" s="6"/>
    </row>
    <row r="535" spans="1:49" ht="15.75" customHeight="1">
      <c r="A535" s="6"/>
      <c r="B535" s="6"/>
      <c r="C535" s="6"/>
      <c r="D535" s="8"/>
      <c r="E535" s="6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8"/>
      <c r="AW535" s="6"/>
    </row>
    <row r="536" spans="1:49" ht="15.75" customHeight="1">
      <c r="A536" s="6"/>
      <c r="B536" s="6"/>
      <c r="C536" s="6"/>
      <c r="D536" s="8"/>
      <c r="E536" s="6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8"/>
      <c r="AW536" s="6"/>
    </row>
    <row r="537" spans="1:49" ht="15.75" customHeight="1">
      <c r="A537" s="6"/>
      <c r="B537" s="6"/>
      <c r="C537" s="6"/>
      <c r="D537" s="8"/>
      <c r="E537" s="6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8"/>
      <c r="AW537" s="6"/>
    </row>
    <row r="538" spans="1:49" ht="15.75" customHeight="1">
      <c r="A538" s="6"/>
      <c r="B538" s="6"/>
      <c r="C538" s="6"/>
      <c r="D538" s="8"/>
      <c r="E538" s="6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8"/>
      <c r="AW538" s="6"/>
    </row>
    <row r="539" spans="1:49" ht="15.75" customHeight="1">
      <c r="A539" s="6"/>
      <c r="B539" s="6"/>
      <c r="C539" s="6"/>
      <c r="D539" s="8"/>
      <c r="E539" s="6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8"/>
      <c r="AW539" s="6"/>
    </row>
    <row r="540" spans="1:49" ht="15.75" customHeight="1">
      <c r="A540" s="6"/>
      <c r="B540" s="6"/>
      <c r="C540" s="6"/>
      <c r="D540" s="8"/>
      <c r="E540" s="6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8"/>
      <c r="AW540" s="6"/>
    </row>
    <row r="541" spans="1:49" ht="15.75" customHeight="1">
      <c r="A541" s="6"/>
      <c r="B541" s="6"/>
      <c r="C541" s="6"/>
      <c r="D541" s="8"/>
      <c r="E541" s="6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8"/>
      <c r="AW541" s="6"/>
    </row>
    <row r="542" spans="1:49" ht="15.75" customHeight="1">
      <c r="A542" s="6"/>
      <c r="B542" s="6"/>
      <c r="C542" s="6"/>
      <c r="D542" s="8"/>
      <c r="E542" s="6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8"/>
      <c r="AW542" s="6"/>
    </row>
    <row r="543" spans="1:49" ht="15.75" customHeight="1">
      <c r="A543" s="6"/>
      <c r="B543" s="6"/>
      <c r="C543" s="6"/>
      <c r="D543" s="8"/>
      <c r="E543" s="6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8"/>
      <c r="AW543" s="6"/>
    </row>
    <row r="544" spans="1:49" ht="15.75" customHeight="1">
      <c r="A544" s="6"/>
      <c r="B544" s="6"/>
      <c r="C544" s="6"/>
      <c r="D544" s="8"/>
      <c r="E544" s="6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8"/>
      <c r="AW544" s="6"/>
    </row>
    <row r="545" spans="1:49" ht="15.75" customHeight="1">
      <c r="A545" s="6"/>
      <c r="B545" s="6"/>
      <c r="C545" s="6"/>
      <c r="D545" s="8"/>
      <c r="E545" s="6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8"/>
      <c r="AW545" s="6"/>
    </row>
    <row r="546" spans="1:49" ht="15.75" customHeight="1">
      <c r="A546" s="6"/>
      <c r="B546" s="6"/>
      <c r="C546" s="6"/>
      <c r="D546" s="8"/>
      <c r="E546" s="6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8"/>
      <c r="AW546" s="6"/>
    </row>
    <row r="547" spans="1:49" ht="15.75" customHeight="1">
      <c r="A547" s="6"/>
      <c r="B547" s="6"/>
      <c r="C547" s="6"/>
      <c r="D547" s="8"/>
      <c r="E547" s="6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8"/>
      <c r="AW547" s="6"/>
    </row>
    <row r="548" spans="1:49" ht="15.75" customHeight="1">
      <c r="A548" s="6"/>
      <c r="B548" s="6"/>
      <c r="C548" s="6"/>
      <c r="D548" s="8"/>
      <c r="E548" s="6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8"/>
      <c r="AW548" s="6"/>
    </row>
    <row r="549" spans="1:49" ht="15.75" customHeight="1">
      <c r="A549" s="6"/>
      <c r="B549" s="6"/>
      <c r="C549" s="6"/>
      <c r="D549" s="8"/>
      <c r="E549" s="6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8"/>
      <c r="AW549" s="6"/>
    </row>
    <row r="550" spans="1:49" ht="15.75" customHeight="1">
      <c r="A550" s="6"/>
      <c r="B550" s="6"/>
      <c r="C550" s="6"/>
      <c r="D550" s="8"/>
      <c r="E550" s="6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8"/>
      <c r="AW550" s="6"/>
    </row>
    <row r="551" spans="1:49" ht="15.75" customHeight="1">
      <c r="A551" s="6"/>
      <c r="B551" s="6"/>
      <c r="C551" s="6"/>
      <c r="D551" s="8"/>
      <c r="E551" s="6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8"/>
      <c r="AW551" s="6"/>
    </row>
    <row r="552" spans="1:49" ht="15.75" customHeight="1">
      <c r="A552" s="6"/>
      <c r="B552" s="6"/>
      <c r="C552" s="6"/>
      <c r="D552" s="8"/>
      <c r="E552" s="6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8"/>
      <c r="AW552" s="6"/>
    </row>
    <row r="553" spans="1:49" ht="15.75" customHeight="1">
      <c r="A553" s="6"/>
      <c r="B553" s="6"/>
      <c r="C553" s="6"/>
      <c r="D553" s="8"/>
      <c r="E553" s="6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8"/>
      <c r="AW553" s="6"/>
    </row>
    <row r="554" spans="1:49" ht="15.75" customHeight="1">
      <c r="A554" s="6"/>
      <c r="B554" s="6"/>
      <c r="C554" s="6"/>
      <c r="D554" s="8"/>
      <c r="E554" s="6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8"/>
      <c r="AW554" s="6"/>
    </row>
    <row r="555" spans="1:49" ht="15.75" customHeight="1">
      <c r="A555" s="6"/>
      <c r="B555" s="6"/>
      <c r="C555" s="6"/>
      <c r="D555" s="8"/>
      <c r="E555" s="6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8"/>
      <c r="AW555" s="6"/>
    </row>
    <row r="556" spans="1:49" ht="15.75" customHeight="1">
      <c r="A556" s="6"/>
      <c r="B556" s="6"/>
      <c r="C556" s="6"/>
      <c r="D556" s="8"/>
      <c r="E556" s="6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8"/>
      <c r="AW556" s="6"/>
    </row>
    <row r="557" spans="1:49" ht="15.75" customHeight="1">
      <c r="A557" s="6"/>
      <c r="B557" s="6"/>
      <c r="C557" s="6"/>
      <c r="D557" s="8"/>
      <c r="E557" s="6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8"/>
      <c r="AW557" s="6"/>
    </row>
    <row r="558" spans="1:49" ht="15.75" customHeight="1">
      <c r="A558" s="6"/>
      <c r="B558" s="6"/>
      <c r="C558" s="6"/>
      <c r="D558" s="8"/>
      <c r="E558" s="6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8"/>
      <c r="AW558" s="6"/>
    </row>
    <row r="559" spans="1:49" ht="15.75" customHeight="1">
      <c r="A559" s="6"/>
      <c r="B559" s="6"/>
      <c r="C559" s="6"/>
      <c r="D559" s="8"/>
      <c r="E559" s="6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8"/>
      <c r="AW559" s="6"/>
    </row>
    <row r="560" spans="1:49" ht="15.75" customHeight="1">
      <c r="A560" s="6"/>
      <c r="B560" s="6"/>
      <c r="C560" s="6"/>
      <c r="D560" s="8"/>
      <c r="E560" s="6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8"/>
      <c r="AW560" s="6"/>
    </row>
    <row r="561" spans="1:49" ht="15.75" customHeight="1">
      <c r="A561" s="6"/>
      <c r="B561" s="6"/>
      <c r="C561" s="6"/>
      <c r="D561" s="8"/>
      <c r="E561" s="6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8"/>
      <c r="AW561" s="6"/>
    </row>
    <row r="562" spans="1:49" ht="15.75" customHeight="1">
      <c r="A562" s="6"/>
      <c r="B562" s="6"/>
      <c r="C562" s="6"/>
      <c r="D562" s="8"/>
      <c r="E562" s="6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8"/>
      <c r="AW562" s="6"/>
    </row>
    <row r="563" spans="1:49" ht="15.75" customHeight="1">
      <c r="A563" s="6"/>
      <c r="B563" s="6"/>
      <c r="C563" s="6"/>
      <c r="D563" s="8"/>
      <c r="E563" s="6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8"/>
      <c r="AW563" s="6"/>
    </row>
    <row r="564" spans="1:49" ht="15.75" customHeight="1">
      <c r="A564" s="6"/>
      <c r="B564" s="6"/>
      <c r="C564" s="6"/>
      <c r="D564" s="8"/>
      <c r="E564" s="6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8"/>
      <c r="AW564" s="6"/>
    </row>
    <row r="565" spans="1:49" ht="15.75" customHeight="1">
      <c r="A565" s="6"/>
      <c r="B565" s="6"/>
      <c r="C565" s="6"/>
      <c r="D565" s="8"/>
      <c r="E565" s="6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8"/>
      <c r="AW565" s="6"/>
    </row>
    <row r="566" spans="1:49" ht="15.75" customHeight="1">
      <c r="A566" s="6"/>
      <c r="B566" s="6"/>
      <c r="C566" s="6"/>
      <c r="D566" s="8"/>
      <c r="E566" s="6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8"/>
      <c r="AW566" s="6"/>
    </row>
    <row r="567" spans="1:49" ht="15.75" customHeight="1">
      <c r="A567" s="6"/>
      <c r="B567" s="6"/>
      <c r="C567" s="6"/>
      <c r="D567" s="8"/>
      <c r="E567" s="6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8"/>
      <c r="AW567" s="6"/>
    </row>
    <row r="568" spans="1:49" ht="15.75" customHeight="1">
      <c r="A568" s="6"/>
      <c r="B568" s="6"/>
      <c r="C568" s="6"/>
      <c r="D568" s="8"/>
      <c r="E568" s="6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8"/>
      <c r="AW568" s="6"/>
    </row>
    <row r="569" spans="1:49" ht="15.75" customHeight="1">
      <c r="A569" s="6"/>
      <c r="B569" s="6"/>
      <c r="C569" s="6"/>
      <c r="D569" s="8"/>
      <c r="E569" s="6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8"/>
      <c r="AW569" s="6"/>
    </row>
    <row r="570" spans="1:49" ht="15.75" customHeight="1">
      <c r="A570" s="6"/>
      <c r="B570" s="6"/>
      <c r="C570" s="6"/>
      <c r="D570" s="8"/>
      <c r="E570" s="6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8"/>
      <c r="AW570" s="6"/>
    </row>
    <row r="571" spans="1:49" ht="15.75" customHeight="1">
      <c r="A571" s="6"/>
      <c r="B571" s="6"/>
      <c r="C571" s="6"/>
      <c r="D571" s="8"/>
      <c r="E571" s="6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8"/>
      <c r="AW571" s="6"/>
    </row>
    <row r="572" spans="1:49" ht="15.75" customHeight="1">
      <c r="A572" s="6"/>
      <c r="B572" s="6"/>
      <c r="C572" s="6"/>
      <c r="D572" s="8"/>
      <c r="E572" s="6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8"/>
      <c r="AW572" s="6"/>
    </row>
    <row r="573" spans="1:49" ht="15.75" customHeight="1">
      <c r="A573" s="6"/>
      <c r="B573" s="6"/>
      <c r="C573" s="6"/>
      <c r="D573" s="8"/>
      <c r="E573" s="6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8"/>
      <c r="AW573" s="6"/>
    </row>
    <row r="574" spans="1:49" ht="15.75" customHeight="1">
      <c r="A574" s="6"/>
      <c r="B574" s="6"/>
      <c r="C574" s="6"/>
      <c r="D574" s="8"/>
      <c r="E574" s="6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8"/>
      <c r="AW574" s="6"/>
    </row>
    <row r="575" spans="1:49" ht="15.75" customHeight="1">
      <c r="A575" s="6"/>
      <c r="B575" s="6"/>
      <c r="C575" s="6"/>
      <c r="D575" s="8"/>
      <c r="E575" s="6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8"/>
      <c r="AW575" s="6"/>
    </row>
    <row r="576" spans="1:49" ht="15.75" customHeight="1">
      <c r="A576" s="6"/>
      <c r="B576" s="6"/>
      <c r="C576" s="6"/>
      <c r="D576" s="8"/>
      <c r="E576" s="6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8"/>
      <c r="AW576" s="6"/>
    </row>
    <row r="577" spans="1:49" ht="15.75" customHeight="1">
      <c r="A577" s="6"/>
      <c r="B577" s="6"/>
      <c r="C577" s="6"/>
      <c r="D577" s="8"/>
      <c r="E577" s="6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8"/>
      <c r="AW577" s="6"/>
    </row>
    <row r="578" spans="1:49" ht="15.75" customHeight="1">
      <c r="A578" s="6"/>
      <c r="B578" s="6"/>
      <c r="C578" s="6"/>
      <c r="D578" s="8"/>
      <c r="E578" s="6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8"/>
      <c r="AW578" s="6"/>
    </row>
    <row r="579" spans="1:49" ht="15.75" customHeight="1">
      <c r="A579" s="6"/>
      <c r="B579" s="6"/>
      <c r="C579" s="6"/>
      <c r="D579" s="8"/>
      <c r="E579" s="6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8"/>
      <c r="AW579" s="6"/>
    </row>
    <row r="580" spans="1:49" ht="15.75" customHeight="1">
      <c r="A580" s="6"/>
      <c r="B580" s="6"/>
      <c r="C580" s="6"/>
      <c r="D580" s="8"/>
      <c r="E580" s="6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8"/>
      <c r="AW580" s="6"/>
    </row>
    <row r="581" spans="1:49" ht="15.75" customHeight="1">
      <c r="A581" s="6"/>
      <c r="B581" s="6"/>
      <c r="C581" s="6"/>
      <c r="D581" s="8"/>
      <c r="E581" s="6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8"/>
      <c r="AW581" s="6"/>
    </row>
    <row r="582" spans="1:49" ht="15.75" customHeight="1">
      <c r="A582" s="6"/>
      <c r="B582" s="6"/>
      <c r="C582" s="6"/>
      <c r="D582" s="8"/>
      <c r="E582" s="6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8"/>
      <c r="AW582" s="6"/>
    </row>
    <row r="583" spans="1:49" ht="15.75" customHeight="1">
      <c r="A583" s="6"/>
      <c r="B583" s="6"/>
      <c r="C583" s="6"/>
      <c r="D583" s="8"/>
      <c r="E583" s="6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8"/>
      <c r="AW583" s="6"/>
    </row>
    <row r="584" spans="1:49" ht="15.75" customHeight="1">
      <c r="A584" s="6"/>
      <c r="B584" s="6"/>
      <c r="C584" s="6"/>
      <c r="D584" s="8"/>
      <c r="E584" s="6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8"/>
      <c r="AW584" s="6"/>
    </row>
    <row r="585" spans="1:49" ht="15.75" customHeight="1">
      <c r="A585" s="6"/>
      <c r="B585" s="6"/>
      <c r="C585" s="6"/>
      <c r="D585" s="8"/>
      <c r="E585" s="6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8"/>
      <c r="AW585" s="6"/>
    </row>
    <row r="586" spans="1:49" ht="15.75" customHeight="1">
      <c r="A586" s="6"/>
      <c r="B586" s="6"/>
      <c r="C586" s="6"/>
      <c r="D586" s="8"/>
      <c r="E586" s="6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8"/>
      <c r="AW586" s="6"/>
    </row>
    <row r="587" spans="1:49" ht="15.75" customHeight="1">
      <c r="A587" s="6"/>
      <c r="B587" s="6"/>
      <c r="C587" s="6"/>
      <c r="D587" s="8"/>
      <c r="E587" s="6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8"/>
      <c r="AW587" s="6"/>
    </row>
    <row r="588" spans="1:49" ht="15.75" customHeight="1">
      <c r="A588" s="6"/>
      <c r="B588" s="6"/>
      <c r="C588" s="6"/>
      <c r="D588" s="8"/>
      <c r="E588" s="6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8"/>
      <c r="AW588" s="6"/>
    </row>
    <row r="589" spans="1:49" ht="15.75" customHeight="1">
      <c r="A589" s="6"/>
      <c r="B589" s="6"/>
      <c r="C589" s="6"/>
      <c r="D589" s="8"/>
      <c r="E589" s="6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8"/>
      <c r="AW589" s="6"/>
    </row>
    <row r="590" spans="1:49" ht="15.75" customHeight="1">
      <c r="A590" s="6"/>
      <c r="B590" s="6"/>
      <c r="C590" s="6"/>
      <c r="D590" s="8"/>
      <c r="E590" s="6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8"/>
      <c r="AW590" s="6"/>
    </row>
    <row r="591" spans="1:49" ht="15.75" customHeight="1">
      <c r="A591" s="6"/>
      <c r="B591" s="6"/>
      <c r="C591" s="6"/>
      <c r="D591" s="8"/>
      <c r="E591" s="6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8"/>
      <c r="AW591" s="6"/>
    </row>
    <row r="592" spans="1:49" ht="15.75" customHeight="1">
      <c r="A592" s="6"/>
      <c r="B592" s="6"/>
      <c r="C592" s="6"/>
      <c r="D592" s="8"/>
      <c r="E592" s="6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8"/>
      <c r="AW592" s="6"/>
    </row>
    <row r="593" spans="1:49" ht="15.75" customHeight="1">
      <c r="A593" s="6"/>
      <c r="B593" s="6"/>
      <c r="C593" s="6"/>
      <c r="D593" s="8"/>
      <c r="E593" s="6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8"/>
      <c r="AW593" s="6"/>
    </row>
    <row r="594" spans="1:49" ht="15.75" customHeight="1">
      <c r="A594" s="6"/>
      <c r="B594" s="6"/>
      <c r="C594" s="6"/>
      <c r="D594" s="8"/>
      <c r="E594" s="6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8"/>
      <c r="AW594" s="6"/>
    </row>
    <row r="595" spans="1:49" ht="15.75" customHeight="1">
      <c r="A595" s="6"/>
      <c r="B595" s="6"/>
      <c r="C595" s="6"/>
      <c r="D595" s="8"/>
      <c r="E595" s="6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8"/>
      <c r="AW595" s="6"/>
    </row>
    <row r="596" spans="1:49" ht="15.75" customHeight="1">
      <c r="A596" s="6"/>
      <c r="B596" s="6"/>
      <c r="C596" s="6"/>
      <c r="D596" s="8"/>
      <c r="E596" s="6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8"/>
      <c r="AW596" s="6"/>
    </row>
    <row r="597" spans="1:49" ht="15.75" customHeight="1">
      <c r="A597" s="6"/>
      <c r="B597" s="6"/>
      <c r="C597" s="6"/>
      <c r="D597" s="8"/>
      <c r="E597" s="6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8"/>
      <c r="AW597" s="6"/>
    </row>
    <row r="598" spans="1:49" ht="15.75" customHeight="1">
      <c r="A598" s="6"/>
      <c r="B598" s="6"/>
      <c r="C598" s="6"/>
      <c r="D598" s="8"/>
      <c r="E598" s="6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8"/>
      <c r="AW598" s="6"/>
    </row>
    <row r="599" spans="1:49" ht="15.75" customHeight="1">
      <c r="A599" s="6"/>
      <c r="B599" s="6"/>
      <c r="C599" s="6"/>
      <c r="D599" s="8"/>
      <c r="E599" s="6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8"/>
      <c r="AW599" s="6"/>
    </row>
    <row r="600" spans="1:49" ht="15.75" customHeight="1">
      <c r="A600" s="6"/>
      <c r="B600" s="6"/>
      <c r="C600" s="6"/>
      <c r="D600" s="8"/>
      <c r="E600" s="6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8"/>
      <c r="AW600" s="6"/>
    </row>
    <row r="601" spans="1:49" ht="15.75" customHeight="1">
      <c r="A601" s="6"/>
      <c r="B601" s="6"/>
      <c r="C601" s="6"/>
      <c r="D601" s="8"/>
      <c r="E601" s="6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8"/>
      <c r="AW601" s="6"/>
    </row>
    <row r="602" spans="1:49" ht="15.75" customHeight="1">
      <c r="A602" s="6"/>
      <c r="B602" s="6"/>
      <c r="C602" s="6"/>
      <c r="D602" s="8"/>
      <c r="E602" s="6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8"/>
      <c r="AW602" s="6"/>
    </row>
    <row r="603" spans="1:49" ht="15.75" customHeight="1">
      <c r="A603" s="6"/>
      <c r="B603" s="6"/>
      <c r="C603" s="6"/>
      <c r="D603" s="8"/>
      <c r="E603" s="6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8"/>
      <c r="AW603" s="6"/>
    </row>
    <row r="604" spans="1:49" ht="15.75" customHeight="1">
      <c r="A604" s="6"/>
      <c r="B604" s="6"/>
      <c r="C604" s="6"/>
      <c r="D604" s="8"/>
      <c r="E604" s="6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8"/>
      <c r="AW604" s="6"/>
    </row>
    <row r="605" spans="1:49" ht="15.75" customHeight="1">
      <c r="A605" s="6"/>
      <c r="B605" s="6"/>
      <c r="C605" s="6"/>
      <c r="D605" s="8"/>
      <c r="E605" s="6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8"/>
      <c r="AW605" s="6"/>
    </row>
    <row r="606" spans="1:49" ht="15.75" customHeight="1">
      <c r="A606" s="6"/>
      <c r="B606" s="6"/>
      <c r="C606" s="6"/>
      <c r="D606" s="8"/>
      <c r="E606" s="6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8"/>
      <c r="AW606" s="6"/>
    </row>
    <row r="607" spans="1:49" ht="15.75" customHeight="1">
      <c r="A607" s="6"/>
      <c r="B607" s="6"/>
      <c r="C607" s="6"/>
      <c r="D607" s="8"/>
      <c r="E607" s="6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8"/>
      <c r="AW607" s="6"/>
    </row>
    <row r="608" spans="1:49" ht="15.75" customHeight="1">
      <c r="A608" s="6"/>
      <c r="B608" s="6"/>
      <c r="C608" s="6"/>
      <c r="D608" s="8"/>
      <c r="E608" s="6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8"/>
      <c r="AW608" s="6"/>
    </row>
    <row r="609" spans="1:49" ht="15.75" customHeight="1">
      <c r="A609" s="6"/>
      <c r="B609" s="6"/>
      <c r="C609" s="6"/>
      <c r="D609" s="8"/>
      <c r="E609" s="6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8"/>
      <c r="AW609" s="6"/>
    </row>
    <row r="610" spans="1:49" ht="15.75" customHeight="1">
      <c r="A610" s="6"/>
      <c r="B610" s="6"/>
      <c r="C610" s="6"/>
      <c r="D610" s="8"/>
      <c r="E610" s="6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8"/>
      <c r="AW610" s="6"/>
    </row>
    <row r="611" spans="1:49" ht="15.75" customHeight="1">
      <c r="A611" s="6"/>
      <c r="B611" s="6"/>
      <c r="C611" s="6"/>
      <c r="D611" s="8"/>
      <c r="E611" s="6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8"/>
      <c r="AW611" s="6"/>
    </row>
    <row r="612" spans="1:49" ht="15.75" customHeight="1">
      <c r="A612" s="6"/>
      <c r="B612" s="6"/>
      <c r="C612" s="6"/>
      <c r="D612" s="8"/>
      <c r="E612" s="6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8"/>
      <c r="AW612" s="6"/>
    </row>
    <row r="613" spans="1:49" ht="15.75" customHeight="1">
      <c r="A613" s="6"/>
      <c r="B613" s="6"/>
      <c r="C613" s="6"/>
      <c r="D613" s="8"/>
      <c r="E613" s="6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8"/>
      <c r="AW613" s="6"/>
    </row>
    <row r="614" spans="1:49" ht="15.75" customHeight="1">
      <c r="A614" s="6"/>
      <c r="B614" s="6"/>
      <c r="C614" s="6"/>
      <c r="D614" s="8"/>
      <c r="E614" s="6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8"/>
      <c r="AW614" s="6"/>
    </row>
    <row r="615" spans="1:49" ht="15.75" customHeight="1">
      <c r="A615" s="6"/>
      <c r="B615" s="6"/>
      <c r="C615" s="6"/>
      <c r="D615" s="8"/>
      <c r="E615" s="6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8"/>
      <c r="AW615" s="6"/>
    </row>
    <row r="616" spans="1:49" ht="15.75" customHeight="1">
      <c r="A616" s="6"/>
      <c r="B616" s="6"/>
      <c r="C616" s="6"/>
      <c r="D616" s="8"/>
      <c r="E616" s="6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8"/>
      <c r="AW616" s="6"/>
    </row>
    <row r="617" spans="1:49" ht="15.75" customHeight="1">
      <c r="A617" s="6"/>
      <c r="B617" s="6"/>
      <c r="C617" s="6"/>
      <c r="D617" s="8"/>
      <c r="E617" s="6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8"/>
      <c r="AW617" s="6"/>
    </row>
    <row r="618" spans="1:49" ht="15.75" customHeight="1">
      <c r="A618" s="6"/>
      <c r="B618" s="6"/>
      <c r="C618" s="6"/>
      <c r="D618" s="8"/>
      <c r="E618" s="6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8"/>
      <c r="AW618" s="6"/>
    </row>
    <row r="619" spans="1:49" ht="15.75" customHeight="1">
      <c r="A619" s="6"/>
      <c r="B619" s="6"/>
      <c r="C619" s="6"/>
      <c r="D619" s="8"/>
      <c r="E619" s="6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8"/>
      <c r="AW619" s="6"/>
    </row>
    <row r="620" spans="1:49" ht="15.75" customHeight="1">
      <c r="A620" s="6"/>
      <c r="B620" s="6"/>
      <c r="C620" s="6"/>
      <c r="D620" s="8"/>
      <c r="E620" s="6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8"/>
      <c r="AW620" s="6"/>
    </row>
    <row r="621" spans="1:49" ht="15.75" customHeight="1">
      <c r="A621" s="6"/>
      <c r="B621" s="6"/>
      <c r="C621" s="6"/>
      <c r="D621" s="8"/>
      <c r="E621" s="6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8"/>
      <c r="AW621" s="6"/>
    </row>
    <row r="622" spans="1:49" ht="15.75" customHeight="1">
      <c r="A622" s="6"/>
      <c r="B622" s="6"/>
      <c r="C622" s="6"/>
      <c r="D622" s="8"/>
      <c r="E622" s="6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8"/>
      <c r="AW622" s="6"/>
    </row>
    <row r="623" spans="1:49" ht="15.75" customHeight="1">
      <c r="A623" s="6"/>
      <c r="B623" s="6"/>
      <c r="C623" s="6"/>
      <c r="D623" s="8"/>
      <c r="E623" s="6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8"/>
      <c r="AW623" s="6"/>
    </row>
    <row r="624" spans="1:49" ht="15.75" customHeight="1">
      <c r="A624" s="6"/>
      <c r="B624" s="6"/>
      <c r="C624" s="6"/>
      <c r="D624" s="8"/>
      <c r="E624" s="6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8"/>
      <c r="AW624" s="6"/>
    </row>
    <row r="625" spans="1:49" ht="15.75" customHeight="1">
      <c r="A625" s="6"/>
      <c r="B625" s="6"/>
      <c r="C625" s="6"/>
      <c r="D625" s="8"/>
      <c r="E625" s="6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8"/>
      <c r="AW625" s="6"/>
    </row>
    <row r="626" spans="1:49" ht="15.75" customHeight="1">
      <c r="A626" s="6"/>
      <c r="B626" s="6"/>
      <c r="C626" s="6"/>
      <c r="D626" s="8"/>
      <c r="E626" s="6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8"/>
      <c r="AW626" s="6"/>
    </row>
    <row r="627" spans="1:49" ht="15.75" customHeight="1">
      <c r="A627" s="6"/>
      <c r="B627" s="6"/>
      <c r="C627" s="6"/>
      <c r="D627" s="8"/>
      <c r="E627" s="6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8"/>
      <c r="AW627" s="6"/>
    </row>
    <row r="628" spans="1:49" ht="15.75" customHeight="1">
      <c r="A628" s="6"/>
      <c r="B628" s="6"/>
      <c r="C628" s="6"/>
      <c r="D628" s="8"/>
      <c r="E628" s="6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8"/>
      <c r="AW628" s="6"/>
    </row>
    <row r="629" spans="1:49" ht="15.75" customHeight="1">
      <c r="A629" s="6"/>
      <c r="B629" s="6"/>
      <c r="C629" s="6"/>
      <c r="D629" s="8"/>
      <c r="E629" s="6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8"/>
      <c r="AW629" s="6"/>
    </row>
    <row r="630" spans="1:49" ht="15.75" customHeight="1">
      <c r="A630" s="6"/>
      <c r="B630" s="6"/>
      <c r="C630" s="6"/>
      <c r="D630" s="8"/>
      <c r="E630" s="6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8"/>
      <c r="AW630" s="6"/>
    </row>
    <row r="631" spans="1:49" ht="15.75" customHeight="1">
      <c r="A631" s="6"/>
      <c r="B631" s="6"/>
      <c r="C631" s="6"/>
      <c r="D631" s="8"/>
      <c r="E631" s="6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8"/>
      <c r="AW631" s="6"/>
    </row>
    <row r="632" spans="1:49" ht="15.75" customHeight="1">
      <c r="A632" s="6"/>
      <c r="B632" s="6"/>
      <c r="C632" s="6"/>
      <c r="D632" s="8"/>
      <c r="E632" s="6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8"/>
      <c r="AW632" s="6"/>
    </row>
    <row r="633" spans="1:49" ht="15.75" customHeight="1">
      <c r="A633" s="6"/>
      <c r="B633" s="6"/>
      <c r="C633" s="6"/>
      <c r="D633" s="8"/>
      <c r="E633" s="6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8"/>
      <c r="AW633" s="6"/>
    </row>
    <row r="634" spans="1:49" ht="15.75" customHeight="1">
      <c r="A634" s="6"/>
      <c r="B634" s="6"/>
      <c r="C634" s="6"/>
      <c r="D634" s="8"/>
      <c r="E634" s="6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8"/>
      <c r="AW634" s="6"/>
    </row>
    <row r="635" spans="1:49" ht="15.75" customHeight="1">
      <c r="A635" s="6"/>
      <c r="B635" s="6"/>
      <c r="C635" s="6"/>
      <c r="D635" s="8"/>
      <c r="E635" s="6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8"/>
      <c r="AW635" s="6"/>
    </row>
    <row r="636" spans="1:49" ht="15.75" customHeight="1">
      <c r="A636" s="6"/>
      <c r="B636" s="6"/>
      <c r="C636" s="6"/>
      <c r="D636" s="8"/>
      <c r="E636" s="6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8"/>
      <c r="AW636" s="6"/>
    </row>
    <row r="637" spans="1:49" ht="15.75" customHeight="1">
      <c r="A637" s="6"/>
      <c r="B637" s="6"/>
      <c r="C637" s="6"/>
      <c r="D637" s="8"/>
      <c r="E637" s="6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8"/>
      <c r="AW637" s="6"/>
    </row>
    <row r="638" spans="1:49" ht="15.75" customHeight="1">
      <c r="A638" s="6"/>
      <c r="B638" s="6"/>
      <c r="C638" s="6"/>
      <c r="D638" s="8"/>
      <c r="E638" s="6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8"/>
      <c r="AW638" s="6"/>
    </row>
    <row r="639" spans="1:49" ht="15.75" customHeight="1">
      <c r="A639" s="6"/>
      <c r="B639" s="6"/>
      <c r="C639" s="6"/>
      <c r="D639" s="8"/>
      <c r="E639" s="6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8"/>
      <c r="AW639" s="6"/>
    </row>
    <row r="640" spans="1:49" ht="15.75" customHeight="1">
      <c r="A640" s="6"/>
      <c r="B640" s="6"/>
      <c r="C640" s="6"/>
      <c r="D640" s="8"/>
      <c r="E640" s="6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8"/>
      <c r="AW640" s="6"/>
    </row>
    <row r="641" spans="1:49" ht="15.75" customHeight="1">
      <c r="A641" s="6"/>
      <c r="B641" s="6"/>
      <c r="C641" s="6"/>
      <c r="D641" s="8"/>
      <c r="E641" s="6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8"/>
      <c r="AW641" s="6"/>
    </row>
    <row r="642" spans="1:49" ht="15.75" customHeight="1">
      <c r="A642" s="6"/>
      <c r="B642" s="6"/>
      <c r="C642" s="6"/>
      <c r="D642" s="8"/>
      <c r="E642" s="6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8"/>
      <c r="AW642" s="6"/>
    </row>
    <row r="643" spans="1:49" ht="15.75" customHeight="1">
      <c r="A643" s="6"/>
      <c r="B643" s="6"/>
      <c r="C643" s="6"/>
      <c r="D643" s="8"/>
      <c r="E643" s="6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8"/>
      <c r="AW643" s="6"/>
    </row>
    <row r="644" spans="1:49" ht="15.75" customHeight="1">
      <c r="A644" s="6"/>
      <c r="B644" s="6"/>
      <c r="C644" s="6"/>
      <c r="D644" s="8"/>
      <c r="E644" s="6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8"/>
      <c r="AW644" s="6"/>
    </row>
    <row r="645" spans="1:49" ht="15.75" customHeight="1">
      <c r="A645" s="6"/>
      <c r="B645" s="6"/>
      <c r="C645" s="6"/>
      <c r="D645" s="8"/>
      <c r="E645" s="6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8"/>
      <c r="AW645" s="6"/>
    </row>
    <row r="646" spans="1:49" ht="15.75" customHeight="1">
      <c r="A646" s="6"/>
      <c r="B646" s="6"/>
      <c r="C646" s="6"/>
      <c r="D646" s="8"/>
      <c r="E646" s="6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8"/>
      <c r="AW646" s="6"/>
    </row>
    <row r="647" spans="1:49" ht="15.75" customHeight="1">
      <c r="A647" s="6"/>
      <c r="B647" s="6"/>
      <c r="C647" s="6"/>
      <c r="D647" s="8"/>
      <c r="E647" s="6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8"/>
      <c r="AW647" s="6"/>
    </row>
    <row r="648" spans="1:49" ht="15.75" customHeight="1">
      <c r="A648" s="6"/>
      <c r="B648" s="6"/>
      <c r="C648" s="6"/>
      <c r="D648" s="8"/>
      <c r="E648" s="6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8"/>
      <c r="AW648" s="6"/>
    </row>
    <row r="649" spans="1:49" ht="15.75" customHeight="1">
      <c r="A649" s="6"/>
      <c r="B649" s="6"/>
      <c r="C649" s="6"/>
      <c r="D649" s="8"/>
      <c r="E649" s="6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8"/>
      <c r="AW649" s="6"/>
    </row>
    <row r="650" spans="1:49" ht="15.75" customHeight="1">
      <c r="A650" s="6"/>
      <c r="B650" s="6"/>
      <c r="C650" s="6"/>
      <c r="D650" s="8"/>
      <c r="E650" s="6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8"/>
      <c r="AW650" s="6"/>
    </row>
    <row r="651" spans="1:49" ht="15.75" customHeight="1">
      <c r="A651" s="6"/>
      <c r="B651" s="6"/>
      <c r="C651" s="6"/>
      <c r="D651" s="8"/>
      <c r="E651" s="6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8"/>
      <c r="AW651" s="6"/>
    </row>
    <row r="652" spans="1:49" ht="15.75" customHeight="1">
      <c r="A652" s="6"/>
      <c r="B652" s="6"/>
      <c r="C652" s="6"/>
      <c r="D652" s="8"/>
      <c r="E652" s="6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8"/>
      <c r="AW652" s="6"/>
    </row>
    <row r="653" spans="1:49" ht="15.75" customHeight="1">
      <c r="A653" s="6"/>
      <c r="B653" s="6"/>
      <c r="C653" s="6"/>
      <c r="D653" s="8"/>
      <c r="E653" s="6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8"/>
      <c r="AW653" s="6"/>
    </row>
    <row r="654" spans="1:49" ht="15.75" customHeight="1">
      <c r="A654" s="6"/>
      <c r="B654" s="6"/>
      <c r="C654" s="6"/>
      <c r="D654" s="8"/>
      <c r="E654" s="6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8"/>
      <c r="AW654" s="6"/>
    </row>
    <row r="655" spans="1:49" ht="15.75" customHeight="1">
      <c r="A655" s="6"/>
      <c r="B655" s="6"/>
      <c r="C655" s="6"/>
      <c r="D655" s="8"/>
      <c r="E655" s="6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8"/>
      <c r="AW655" s="6"/>
    </row>
    <row r="656" spans="1:49" ht="15.75" customHeight="1">
      <c r="A656" s="6"/>
      <c r="B656" s="6"/>
      <c r="C656" s="6"/>
      <c r="D656" s="8"/>
      <c r="E656" s="6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8"/>
      <c r="AW656" s="6"/>
    </row>
    <row r="657" spans="1:49" ht="15.75" customHeight="1">
      <c r="A657" s="6"/>
      <c r="B657" s="6"/>
      <c r="C657" s="6"/>
      <c r="D657" s="8"/>
      <c r="E657" s="6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8"/>
      <c r="AW657" s="6"/>
    </row>
    <row r="658" spans="1:49" ht="15.75" customHeight="1">
      <c r="A658" s="6"/>
      <c r="B658" s="6"/>
      <c r="C658" s="6"/>
      <c r="D658" s="8"/>
      <c r="E658" s="6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8"/>
      <c r="AW658" s="6"/>
    </row>
    <row r="659" spans="1:49" ht="15.75" customHeight="1">
      <c r="A659" s="6"/>
      <c r="B659" s="6"/>
      <c r="C659" s="6"/>
      <c r="D659" s="8"/>
      <c r="E659" s="6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8"/>
      <c r="AW659" s="6"/>
    </row>
    <row r="660" spans="1:49" ht="15.75" customHeight="1">
      <c r="A660" s="6"/>
      <c r="B660" s="6"/>
      <c r="C660" s="6"/>
      <c r="D660" s="8"/>
      <c r="E660" s="6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8"/>
      <c r="AW660" s="6"/>
    </row>
    <row r="661" spans="1:49" ht="15.75" customHeight="1">
      <c r="A661" s="6"/>
      <c r="B661" s="6"/>
      <c r="C661" s="6"/>
      <c r="D661" s="8"/>
      <c r="E661" s="6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8"/>
      <c r="AW661" s="6"/>
    </row>
    <row r="662" spans="1:49" ht="15.75" customHeight="1">
      <c r="A662" s="6"/>
      <c r="B662" s="6"/>
      <c r="C662" s="6"/>
      <c r="D662" s="8"/>
      <c r="E662" s="6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8"/>
      <c r="AW662" s="6"/>
    </row>
    <row r="663" spans="1:49" ht="15.75" customHeight="1">
      <c r="A663" s="6"/>
      <c r="B663" s="6"/>
      <c r="C663" s="6"/>
      <c r="D663" s="8"/>
      <c r="E663" s="6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8"/>
      <c r="AW663" s="6"/>
    </row>
    <row r="664" spans="1:49" ht="15.75" customHeight="1">
      <c r="A664" s="6"/>
      <c r="B664" s="6"/>
      <c r="C664" s="6"/>
      <c r="D664" s="8"/>
      <c r="E664" s="6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8"/>
      <c r="AW664" s="6"/>
    </row>
    <row r="665" spans="1:49" ht="15.75" customHeight="1">
      <c r="A665" s="6"/>
      <c r="B665" s="6"/>
      <c r="C665" s="6"/>
      <c r="D665" s="8"/>
      <c r="E665" s="6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8"/>
      <c r="AW665" s="6"/>
    </row>
    <row r="666" spans="1:49" ht="15.75" customHeight="1">
      <c r="A666" s="6"/>
      <c r="B666" s="6"/>
      <c r="C666" s="6"/>
      <c r="D666" s="8"/>
      <c r="E666" s="6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8"/>
      <c r="AW666" s="6"/>
    </row>
    <row r="667" spans="1:49" ht="15.75" customHeight="1">
      <c r="A667" s="6"/>
      <c r="B667" s="6"/>
      <c r="C667" s="6"/>
      <c r="D667" s="8"/>
      <c r="E667" s="6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8"/>
      <c r="AW667" s="6"/>
    </row>
    <row r="668" spans="1:49" ht="15.75" customHeight="1">
      <c r="A668" s="6"/>
      <c r="B668" s="6"/>
      <c r="C668" s="6"/>
      <c r="D668" s="8"/>
      <c r="E668" s="6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8"/>
      <c r="AW668" s="6"/>
    </row>
    <row r="669" spans="1:49" ht="15.75" customHeight="1">
      <c r="A669" s="6"/>
      <c r="B669" s="6"/>
      <c r="C669" s="6"/>
      <c r="D669" s="8"/>
      <c r="E669" s="6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8"/>
      <c r="AW669" s="6"/>
    </row>
    <row r="670" spans="1:49" ht="15.75" customHeight="1">
      <c r="A670" s="6"/>
      <c r="B670" s="6"/>
      <c r="C670" s="6"/>
      <c r="D670" s="8"/>
      <c r="E670" s="6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8"/>
      <c r="AW670" s="6"/>
    </row>
    <row r="671" spans="1:49" ht="15.75" customHeight="1">
      <c r="A671" s="6"/>
      <c r="B671" s="6"/>
      <c r="C671" s="6"/>
      <c r="D671" s="8"/>
      <c r="E671" s="6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8"/>
      <c r="AW671" s="6"/>
    </row>
    <row r="672" spans="1:49" ht="15.75" customHeight="1">
      <c r="A672" s="6"/>
      <c r="B672" s="6"/>
      <c r="C672" s="6"/>
      <c r="D672" s="8"/>
      <c r="E672" s="6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8"/>
      <c r="AW672" s="6"/>
    </row>
    <row r="673" spans="1:49" ht="15.75" customHeight="1">
      <c r="A673" s="6"/>
      <c r="B673" s="6"/>
      <c r="C673" s="6"/>
      <c r="D673" s="8"/>
      <c r="E673" s="6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8"/>
      <c r="AW673" s="6"/>
    </row>
    <row r="674" spans="1:49" ht="15.75" customHeight="1">
      <c r="A674" s="6"/>
      <c r="B674" s="6"/>
      <c r="C674" s="6"/>
      <c r="D674" s="8"/>
      <c r="E674" s="6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8"/>
      <c r="AW674" s="6"/>
    </row>
    <row r="675" spans="1:49" ht="15.75" customHeight="1">
      <c r="A675" s="6"/>
      <c r="B675" s="6"/>
      <c r="C675" s="6"/>
      <c r="D675" s="8"/>
      <c r="E675" s="6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8"/>
      <c r="AW675" s="6"/>
    </row>
    <row r="676" spans="1:49" ht="15.75" customHeight="1">
      <c r="A676" s="6"/>
      <c r="B676" s="6"/>
      <c r="C676" s="6"/>
      <c r="D676" s="8"/>
      <c r="E676" s="6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8"/>
      <c r="AW676" s="6"/>
    </row>
    <row r="677" spans="1:49" ht="15.75" customHeight="1">
      <c r="A677" s="6"/>
      <c r="B677" s="6"/>
      <c r="C677" s="6"/>
      <c r="D677" s="8"/>
      <c r="E677" s="6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8"/>
      <c r="AW677" s="6"/>
    </row>
    <row r="678" spans="1:49" ht="15.75" customHeight="1">
      <c r="A678" s="6"/>
      <c r="B678" s="6"/>
      <c r="C678" s="6"/>
      <c r="D678" s="8"/>
      <c r="E678" s="6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8"/>
      <c r="AW678" s="6"/>
    </row>
    <row r="679" spans="1:49" ht="15.75" customHeight="1">
      <c r="A679" s="6"/>
      <c r="B679" s="6"/>
      <c r="C679" s="6"/>
      <c r="D679" s="8"/>
      <c r="E679" s="6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8"/>
      <c r="AW679" s="6"/>
    </row>
    <row r="680" spans="1:49" ht="15.75" customHeight="1">
      <c r="A680" s="6"/>
      <c r="B680" s="6"/>
      <c r="C680" s="6"/>
      <c r="D680" s="8"/>
      <c r="E680" s="6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8"/>
      <c r="AW680" s="6"/>
    </row>
    <row r="681" spans="1:49" ht="15.75" customHeight="1">
      <c r="A681" s="6"/>
      <c r="B681" s="6"/>
      <c r="C681" s="6"/>
      <c r="D681" s="8"/>
      <c r="E681" s="6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8"/>
      <c r="AW681" s="6"/>
    </row>
    <row r="682" spans="1:49" ht="15.75" customHeight="1">
      <c r="A682" s="6"/>
      <c r="B682" s="6"/>
      <c r="C682" s="6"/>
      <c r="D682" s="8"/>
      <c r="E682" s="6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8"/>
      <c r="AW682" s="6"/>
    </row>
    <row r="683" spans="1:49" ht="15.75" customHeight="1">
      <c r="A683" s="6"/>
      <c r="B683" s="6"/>
      <c r="C683" s="6"/>
      <c r="D683" s="8"/>
      <c r="E683" s="6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8"/>
      <c r="AW683" s="6"/>
    </row>
    <row r="684" spans="1:49" ht="15.75" customHeight="1">
      <c r="A684" s="6"/>
      <c r="B684" s="6"/>
      <c r="C684" s="6"/>
      <c r="D684" s="8"/>
      <c r="E684" s="6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8"/>
      <c r="AW684" s="6"/>
    </row>
    <row r="685" spans="1:49" ht="15.75" customHeight="1">
      <c r="A685" s="6"/>
      <c r="B685" s="6"/>
      <c r="C685" s="6"/>
      <c r="D685" s="8"/>
      <c r="E685" s="6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8"/>
      <c r="AW685" s="6"/>
    </row>
    <row r="686" spans="1:49" ht="15.75" customHeight="1">
      <c r="A686" s="6"/>
      <c r="B686" s="6"/>
      <c r="C686" s="6"/>
      <c r="D686" s="8"/>
      <c r="E686" s="6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8"/>
      <c r="AW686" s="6"/>
    </row>
    <row r="687" spans="1:49" ht="15.75" customHeight="1">
      <c r="A687" s="6"/>
      <c r="B687" s="6"/>
      <c r="C687" s="6"/>
      <c r="D687" s="8"/>
      <c r="E687" s="6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8"/>
      <c r="AW687" s="6"/>
    </row>
    <row r="688" spans="1:49" ht="15.75" customHeight="1">
      <c r="A688" s="6"/>
      <c r="B688" s="6"/>
      <c r="C688" s="6"/>
      <c r="D688" s="8"/>
      <c r="E688" s="6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8"/>
      <c r="AW688" s="6"/>
    </row>
    <row r="689" spans="1:49" ht="15.75" customHeight="1">
      <c r="A689" s="6"/>
      <c r="B689" s="6"/>
      <c r="C689" s="6"/>
      <c r="D689" s="8"/>
      <c r="E689" s="6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8"/>
      <c r="AW689" s="6"/>
    </row>
    <row r="690" spans="1:49" ht="15.75" customHeight="1">
      <c r="A690" s="6"/>
      <c r="B690" s="6"/>
      <c r="C690" s="6"/>
      <c r="D690" s="8"/>
      <c r="E690" s="6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8"/>
      <c r="AW690" s="6"/>
    </row>
    <row r="691" spans="1:49" ht="15.75" customHeight="1">
      <c r="A691" s="6"/>
      <c r="B691" s="6"/>
      <c r="C691" s="6"/>
      <c r="D691" s="8"/>
      <c r="E691" s="6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8"/>
      <c r="AW691" s="6"/>
    </row>
    <row r="692" spans="1:49" ht="15.75" customHeight="1">
      <c r="A692" s="6"/>
      <c r="B692" s="6"/>
      <c r="C692" s="6"/>
      <c r="D692" s="8"/>
      <c r="E692" s="6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8"/>
      <c r="AW692" s="6"/>
    </row>
    <row r="693" spans="1:49" ht="15.75" customHeight="1">
      <c r="A693" s="6"/>
      <c r="B693" s="6"/>
      <c r="C693" s="6"/>
      <c r="D693" s="8"/>
      <c r="E693" s="6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8"/>
      <c r="AW693" s="6"/>
    </row>
    <row r="694" spans="1:49" ht="15.75" customHeight="1">
      <c r="A694" s="6"/>
      <c r="B694" s="6"/>
      <c r="C694" s="6"/>
      <c r="D694" s="8"/>
      <c r="E694" s="6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8"/>
      <c r="AW694" s="6"/>
    </row>
    <row r="695" spans="1:49" ht="15.75" customHeight="1">
      <c r="A695" s="6"/>
      <c r="B695" s="6"/>
      <c r="C695" s="6"/>
      <c r="D695" s="8"/>
      <c r="E695" s="6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8"/>
      <c r="AW695" s="6"/>
    </row>
    <row r="696" spans="1:49" ht="15.75" customHeight="1">
      <c r="A696" s="6"/>
      <c r="B696" s="6"/>
      <c r="C696" s="6"/>
      <c r="D696" s="8"/>
      <c r="E696" s="6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8"/>
      <c r="AW696" s="6"/>
    </row>
    <row r="697" spans="1:49" ht="15.75" customHeight="1">
      <c r="A697" s="6"/>
      <c r="B697" s="6"/>
      <c r="C697" s="6"/>
      <c r="D697" s="8"/>
      <c r="E697" s="6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8"/>
      <c r="AW697" s="6"/>
    </row>
    <row r="698" spans="1:49" ht="15.75" customHeight="1">
      <c r="A698" s="6"/>
      <c r="B698" s="6"/>
      <c r="C698" s="6"/>
      <c r="D698" s="8"/>
      <c r="E698" s="6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8"/>
      <c r="AW698" s="6"/>
    </row>
    <row r="699" spans="1:49" ht="15.75" customHeight="1">
      <c r="A699" s="6"/>
      <c r="B699" s="6"/>
      <c r="C699" s="6"/>
      <c r="D699" s="8"/>
      <c r="E699" s="6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8"/>
      <c r="AW699" s="6"/>
    </row>
    <row r="700" spans="1:49" ht="15.75" customHeight="1">
      <c r="A700" s="6"/>
      <c r="B700" s="6"/>
      <c r="C700" s="6"/>
      <c r="D700" s="8"/>
      <c r="E700" s="6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8"/>
      <c r="AW700" s="6"/>
    </row>
    <row r="701" spans="1:49" ht="15.75" customHeight="1">
      <c r="A701" s="6"/>
      <c r="B701" s="6"/>
      <c r="C701" s="6"/>
      <c r="D701" s="8"/>
      <c r="E701" s="6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8"/>
      <c r="AW701" s="6"/>
    </row>
    <row r="702" spans="1:49" ht="15.75" customHeight="1">
      <c r="A702" s="6"/>
      <c r="B702" s="6"/>
      <c r="C702" s="6"/>
      <c r="D702" s="8"/>
      <c r="E702" s="6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8"/>
      <c r="AW702" s="6"/>
    </row>
    <row r="703" spans="1:49" ht="15.75" customHeight="1">
      <c r="A703" s="6"/>
      <c r="B703" s="6"/>
      <c r="C703" s="6"/>
      <c r="D703" s="8"/>
      <c r="E703" s="6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8"/>
      <c r="AW703" s="6"/>
    </row>
    <row r="704" spans="1:49" ht="15.75" customHeight="1">
      <c r="A704" s="6"/>
      <c r="B704" s="6"/>
      <c r="C704" s="6"/>
      <c r="D704" s="8"/>
      <c r="E704" s="6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8"/>
      <c r="AW704" s="6"/>
    </row>
    <row r="705" spans="1:49" ht="15.75" customHeight="1">
      <c r="A705" s="6"/>
      <c r="B705" s="6"/>
      <c r="C705" s="6"/>
      <c r="D705" s="8"/>
      <c r="E705" s="6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8"/>
      <c r="AW705" s="6"/>
    </row>
    <row r="706" spans="1:49" ht="15.75" customHeight="1">
      <c r="A706" s="6"/>
      <c r="B706" s="6"/>
      <c r="C706" s="6"/>
      <c r="D706" s="8"/>
      <c r="E706" s="6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8"/>
      <c r="AW706" s="6"/>
    </row>
    <row r="707" spans="1:49" ht="15.75" customHeight="1">
      <c r="A707" s="6"/>
      <c r="B707" s="6"/>
      <c r="C707" s="6"/>
      <c r="D707" s="8"/>
      <c r="E707" s="6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8"/>
      <c r="AW707" s="6"/>
    </row>
    <row r="708" spans="1:49" ht="15.75" customHeight="1">
      <c r="A708" s="6"/>
      <c r="B708" s="6"/>
      <c r="C708" s="6"/>
      <c r="D708" s="8"/>
      <c r="E708" s="6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8"/>
      <c r="AW708" s="6"/>
    </row>
    <row r="709" spans="1:49" ht="15.75" customHeight="1">
      <c r="A709" s="6"/>
      <c r="B709" s="6"/>
      <c r="C709" s="6"/>
      <c r="D709" s="8"/>
      <c r="E709" s="6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8"/>
      <c r="AW709" s="6"/>
    </row>
    <row r="710" spans="1:49" ht="15.75" customHeight="1">
      <c r="A710" s="6"/>
      <c r="B710" s="6"/>
      <c r="C710" s="6"/>
      <c r="D710" s="8"/>
      <c r="E710" s="6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8"/>
      <c r="AW710" s="6"/>
    </row>
    <row r="711" spans="1:49" ht="15.75" customHeight="1">
      <c r="A711" s="6"/>
      <c r="B711" s="6"/>
      <c r="C711" s="6"/>
      <c r="D711" s="8"/>
      <c r="E711" s="6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8"/>
      <c r="AW711" s="6"/>
    </row>
    <row r="712" spans="1:49" ht="15.75" customHeight="1">
      <c r="A712" s="6"/>
      <c r="B712" s="6"/>
      <c r="C712" s="6"/>
      <c r="D712" s="8"/>
      <c r="E712" s="6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8"/>
      <c r="AW712" s="6"/>
    </row>
    <row r="713" spans="1:49" ht="15.75" customHeight="1">
      <c r="A713" s="6"/>
      <c r="B713" s="6"/>
      <c r="C713" s="6"/>
      <c r="D713" s="8"/>
      <c r="E713" s="6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8"/>
      <c r="AW713" s="6"/>
    </row>
    <row r="714" spans="1:49" ht="15.75" customHeight="1">
      <c r="A714" s="6"/>
      <c r="B714" s="6"/>
      <c r="C714" s="6"/>
      <c r="D714" s="8"/>
      <c r="E714" s="6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8"/>
      <c r="AW714" s="6"/>
    </row>
    <row r="715" spans="1:49" ht="15.75" customHeight="1">
      <c r="A715" s="6"/>
      <c r="B715" s="6"/>
      <c r="C715" s="6"/>
      <c r="D715" s="8"/>
      <c r="E715" s="6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8"/>
      <c r="AW715" s="6"/>
    </row>
    <row r="716" spans="1:49" ht="15.75" customHeight="1">
      <c r="A716" s="6"/>
      <c r="B716" s="6"/>
      <c r="C716" s="6"/>
      <c r="D716" s="8"/>
      <c r="E716" s="6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8"/>
      <c r="AW716" s="6"/>
    </row>
    <row r="717" spans="1:49" ht="15.75" customHeight="1">
      <c r="A717" s="6"/>
      <c r="B717" s="6"/>
      <c r="C717" s="6"/>
      <c r="D717" s="8"/>
      <c r="E717" s="6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8"/>
      <c r="AW717" s="6"/>
    </row>
    <row r="718" spans="1:49" ht="15.75" customHeight="1">
      <c r="A718" s="6"/>
      <c r="B718" s="6"/>
      <c r="C718" s="6"/>
      <c r="D718" s="8"/>
      <c r="E718" s="6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8"/>
      <c r="AW718" s="6"/>
    </row>
    <row r="719" spans="1:49" ht="15.75" customHeight="1">
      <c r="A719" s="6"/>
      <c r="B719" s="6"/>
      <c r="C719" s="6"/>
      <c r="D719" s="8"/>
      <c r="E719" s="6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8"/>
      <c r="AW719" s="6"/>
    </row>
    <row r="720" spans="1:49" ht="15.75" customHeight="1">
      <c r="A720" s="6"/>
      <c r="B720" s="6"/>
      <c r="C720" s="6"/>
      <c r="D720" s="8"/>
      <c r="E720" s="6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8"/>
      <c r="AW720" s="6"/>
    </row>
    <row r="721" spans="1:49" ht="15.75" customHeight="1">
      <c r="A721" s="6"/>
      <c r="B721" s="6"/>
      <c r="C721" s="6"/>
      <c r="D721" s="8"/>
      <c r="E721" s="6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8"/>
      <c r="AW721" s="6"/>
    </row>
    <row r="722" spans="1:49" ht="15.75" customHeight="1">
      <c r="A722" s="6"/>
      <c r="B722" s="6"/>
      <c r="C722" s="6"/>
      <c r="D722" s="8"/>
      <c r="E722" s="6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8"/>
      <c r="AW722" s="6"/>
    </row>
    <row r="723" spans="1:49" ht="15.75" customHeight="1">
      <c r="A723" s="6"/>
      <c r="B723" s="6"/>
      <c r="C723" s="6"/>
      <c r="D723" s="8"/>
      <c r="E723" s="6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8"/>
      <c r="AW723" s="6"/>
    </row>
    <row r="724" spans="1:49" ht="15.75" customHeight="1">
      <c r="A724" s="6"/>
      <c r="B724" s="6"/>
      <c r="C724" s="6"/>
      <c r="D724" s="8"/>
      <c r="E724" s="6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8"/>
      <c r="AW724" s="6"/>
    </row>
    <row r="725" spans="1:49" ht="15.75" customHeight="1">
      <c r="A725" s="6"/>
      <c r="B725" s="6"/>
      <c r="C725" s="6"/>
      <c r="D725" s="8"/>
      <c r="E725" s="6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8"/>
      <c r="AW725" s="6"/>
    </row>
    <row r="726" spans="1:49" ht="15.75" customHeight="1">
      <c r="A726" s="6"/>
      <c r="B726" s="6"/>
      <c r="C726" s="6"/>
      <c r="D726" s="8"/>
      <c r="E726" s="6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8"/>
      <c r="AW726" s="6"/>
    </row>
    <row r="727" spans="1:49" ht="15.75" customHeight="1">
      <c r="A727" s="6"/>
      <c r="B727" s="6"/>
      <c r="C727" s="6"/>
      <c r="D727" s="8"/>
      <c r="E727" s="6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8"/>
      <c r="AW727" s="6"/>
    </row>
    <row r="728" spans="1:49" ht="15.75" customHeight="1">
      <c r="A728" s="6"/>
      <c r="B728" s="6"/>
      <c r="C728" s="6"/>
      <c r="D728" s="8"/>
      <c r="E728" s="6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8"/>
      <c r="AW728" s="6"/>
    </row>
    <row r="729" spans="1:49" ht="15.75" customHeight="1">
      <c r="A729" s="6"/>
      <c r="B729" s="6"/>
      <c r="C729" s="6"/>
      <c r="D729" s="8"/>
      <c r="E729" s="6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8"/>
      <c r="AW729" s="6"/>
    </row>
    <row r="730" spans="1:49" ht="15.75" customHeight="1">
      <c r="A730" s="6"/>
      <c r="B730" s="6"/>
      <c r="C730" s="6"/>
      <c r="D730" s="8"/>
      <c r="E730" s="6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8"/>
      <c r="AW730" s="6"/>
    </row>
    <row r="731" spans="1:49" ht="15.75" customHeight="1">
      <c r="A731" s="6"/>
      <c r="B731" s="6"/>
      <c r="C731" s="6"/>
      <c r="D731" s="8"/>
      <c r="E731" s="6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8"/>
      <c r="AW731" s="6"/>
    </row>
    <row r="732" spans="1:49" ht="15.75" customHeight="1">
      <c r="A732" s="6"/>
      <c r="B732" s="6"/>
      <c r="C732" s="6"/>
      <c r="D732" s="8"/>
      <c r="E732" s="6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8"/>
      <c r="AW732" s="6"/>
    </row>
    <row r="733" spans="1:49" ht="15.75" customHeight="1">
      <c r="A733" s="6"/>
      <c r="B733" s="6"/>
      <c r="C733" s="6"/>
      <c r="D733" s="8"/>
      <c r="E733" s="6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8"/>
      <c r="AW733" s="6"/>
    </row>
    <row r="734" spans="1:49" ht="15.75" customHeight="1">
      <c r="A734" s="6"/>
      <c r="B734" s="6"/>
      <c r="C734" s="6"/>
      <c r="D734" s="8"/>
      <c r="E734" s="6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8"/>
      <c r="AW734" s="6"/>
    </row>
    <row r="735" spans="1:49" ht="15.75" customHeight="1">
      <c r="A735" s="6"/>
      <c r="B735" s="6"/>
      <c r="C735" s="6"/>
      <c r="D735" s="8"/>
      <c r="E735" s="6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8"/>
      <c r="AW735" s="6"/>
    </row>
    <row r="736" spans="1:49" ht="15.75" customHeight="1">
      <c r="A736" s="6"/>
      <c r="B736" s="6"/>
      <c r="C736" s="6"/>
      <c r="D736" s="8"/>
      <c r="E736" s="6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8"/>
      <c r="AW736" s="6"/>
    </row>
    <row r="737" spans="1:49" ht="15.75" customHeight="1">
      <c r="A737" s="6"/>
      <c r="B737" s="6"/>
      <c r="C737" s="6"/>
      <c r="D737" s="8"/>
      <c r="E737" s="6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8"/>
      <c r="AW737" s="6"/>
    </row>
    <row r="738" spans="1:49" ht="15.75" customHeight="1">
      <c r="A738" s="6"/>
      <c r="B738" s="6"/>
      <c r="C738" s="6"/>
      <c r="D738" s="8"/>
      <c r="E738" s="6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8"/>
      <c r="AW738" s="6"/>
    </row>
    <row r="739" spans="1:49" ht="15.75" customHeight="1">
      <c r="A739" s="6"/>
      <c r="B739" s="6"/>
      <c r="C739" s="6"/>
      <c r="D739" s="8"/>
      <c r="E739" s="6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8"/>
      <c r="AW739" s="6"/>
    </row>
    <row r="740" spans="1:49" ht="15.75" customHeight="1">
      <c r="A740" s="6"/>
      <c r="B740" s="6"/>
      <c r="C740" s="6"/>
      <c r="D740" s="8"/>
      <c r="E740" s="6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8"/>
      <c r="AW740" s="6"/>
    </row>
    <row r="741" spans="1:49" ht="15.75" customHeight="1">
      <c r="A741" s="6"/>
      <c r="B741" s="6"/>
      <c r="C741" s="6"/>
      <c r="D741" s="8"/>
      <c r="E741" s="6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8"/>
      <c r="AW741" s="6"/>
    </row>
    <row r="742" spans="1:49" ht="15.75" customHeight="1">
      <c r="A742" s="6"/>
      <c r="B742" s="6"/>
      <c r="C742" s="6"/>
      <c r="D742" s="8"/>
      <c r="E742" s="6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8"/>
      <c r="AW742" s="6"/>
    </row>
    <row r="743" spans="1:49" ht="15.75" customHeight="1">
      <c r="A743" s="6"/>
      <c r="B743" s="6"/>
      <c r="C743" s="6"/>
      <c r="D743" s="8"/>
      <c r="E743" s="6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8"/>
      <c r="AW743" s="6"/>
    </row>
    <row r="744" spans="1:49" ht="15.75" customHeight="1">
      <c r="A744" s="6"/>
      <c r="B744" s="6"/>
      <c r="C744" s="6"/>
      <c r="D744" s="8"/>
      <c r="E744" s="6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8"/>
      <c r="AW744" s="6"/>
    </row>
    <row r="745" spans="1:49" ht="15.75" customHeight="1">
      <c r="A745" s="6"/>
      <c r="B745" s="6"/>
      <c r="C745" s="6"/>
      <c r="D745" s="8"/>
      <c r="E745" s="6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8"/>
      <c r="AW745" s="6"/>
    </row>
    <row r="746" spans="1:49" ht="15.75" customHeight="1">
      <c r="A746" s="6"/>
      <c r="B746" s="6"/>
      <c r="C746" s="6"/>
      <c r="D746" s="8"/>
      <c r="E746" s="6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8"/>
      <c r="AW746" s="6"/>
    </row>
    <row r="747" spans="1:49" ht="15.75" customHeight="1">
      <c r="A747" s="6"/>
      <c r="B747" s="6"/>
      <c r="C747" s="6"/>
      <c r="D747" s="8"/>
      <c r="E747" s="6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8"/>
      <c r="AW747" s="6"/>
    </row>
    <row r="748" spans="1:49" ht="15.75" customHeight="1">
      <c r="A748" s="6"/>
      <c r="B748" s="6"/>
      <c r="C748" s="6"/>
      <c r="D748" s="8"/>
      <c r="E748" s="6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8"/>
      <c r="AW748" s="6"/>
    </row>
    <row r="749" spans="1:49" ht="15.75" customHeight="1">
      <c r="A749" s="6"/>
      <c r="B749" s="6"/>
      <c r="C749" s="6"/>
      <c r="D749" s="8"/>
      <c r="E749" s="6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8"/>
      <c r="AW749" s="6"/>
    </row>
    <row r="750" spans="1:49" ht="15.75" customHeight="1">
      <c r="A750" s="6"/>
      <c r="B750" s="6"/>
      <c r="C750" s="6"/>
      <c r="D750" s="8"/>
      <c r="E750" s="6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8"/>
      <c r="AW750" s="6"/>
    </row>
    <row r="751" spans="1:49" ht="15.75" customHeight="1">
      <c r="A751" s="6"/>
      <c r="B751" s="6"/>
      <c r="C751" s="6"/>
      <c r="D751" s="8"/>
      <c r="E751" s="6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8"/>
      <c r="AW751" s="6"/>
    </row>
    <row r="752" spans="1:49" ht="15.75" customHeight="1">
      <c r="A752" s="6"/>
      <c r="B752" s="6"/>
      <c r="C752" s="6"/>
      <c r="D752" s="8"/>
      <c r="E752" s="6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8"/>
      <c r="AW752" s="6"/>
    </row>
    <row r="753" spans="1:49" ht="15.75" customHeight="1">
      <c r="A753" s="6"/>
      <c r="B753" s="6"/>
      <c r="C753" s="6"/>
      <c r="D753" s="8"/>
      <c r="E753" s="6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8"/>
      <c r="AW753" s="6"/>
    </row>
    <row r="754" spans="1:49" ht="15.75" customHeight="1">
      <c r="A754" s="6"/>
      <c r="B754" s="6"/>
      <c r="C754" s="6"/>
      <c r="D754" s="8"/>
      <c r="E754" s="6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8"/>
      <c r="AW754" s="6"/>
    </row>
    <row r="755" spans="1:49" ht="15.75" customHeight="1">
      <c r="A755" s="6"/>
      <c r="B755" s="6"/>
      <c r="C755" s="6"/>
      <c r="D755" s="8"/>
      <c r="E755" s="6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8"/>
      <c r="AW755" s="6"/>
    </row>
    <row r="756" spans="1:49" ht="15.75" customHeight="1">
      <c r="A756" s="6"/>
      <c r="B756" s="6"/>
      <c r="C756" s="6"/>
      <c r="D756" s="8"/>
      <c r="E756" s="6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8"/>
      <c r="AW756" s="6"/>
    </row>
    <row r="757" spans="1:49" ht="15.75" customHeight="1">
      <c r="A757" s="6"/>
      <c r="B757" s="6"/>
      <c r="C757" s="6"/>
      <c r="D757" s="8"/>
      <c r="E757" s="6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8"/>
      <c r="AW757" s="6"/>
    </row>
    <row r="758" spans="1:49" ht="15.75" customHeight="1">
      <c r="A758" s="6"/>
      <c r="B758" s="6"/>
      <c r="C758" s="6"/>
      <c r="D758" s="8"/>
      <c r="E758" s="6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8"/>
      <c r="AW758" s="6"/>
    </row>
    <row r="759" spans="1:49" ht="15.75" customHeight="1">
      <c r="A759" s="6"/>
      <c r="B759" s="6"/>
      <c r="C759" s="6"/>
      <c r="D759" s="8"/>
      <c r="E759" s="6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8"/>
      <c r="AW759" s="6"/>
    </row>
    <row r="760" spans="1:49" ht="15.75" customHeight="1">
      <c r="A760" s="6"/>
      <c r="B760" s="6"/>
      <c r="C760" s="6"/>
      <c r="D760" s="8"/>
      <c r="E760" s="6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8"/>
      <c r="AW760" s="6"/>
    </row>
    <row r="761" spans="1:49" ht="15.75" customHeight="1">
      <c r="A761" s="6"/>
      <c r="B761" s="6"/>
      <c r="C761" s="6"/>
      <c r="D761" s="8"/>
      <c r="E761" s="6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8"/>
      <c r="AW761" s="6"/>
    </row>
    <row r="762" spans="1:49" ht="15.75" customHeight="1">
      <c r="A762" s="6"/>
      <c r="B762" s="6"/>
      <c r="C762" s="6"/>
      <c r="D762" s="8"/>
      <c r="E762" s="6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8"/>
      <c r="AW762" s="6"/>
    </row>
    <row r="763" spans="1:49" ht="15.75" customHeight="1">
      <c r="A763" s="6"/>
      <c r="B763" s="6"/>
      <c r="C763" s="6"/>
      <c r="D763" s="8"/>
      <c r="E763" s="6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8"/>
      <c r="AW763" s="6"/>
    </row>
    <row r="764" spans="1:49" ht="15.75" customHeight="1">
      <c r="A764" s="6"/>
      <c r="B764" s="6"/>
      <c r="C764" s="6"/>
      <c r="D764" s="8"/>
      <c r="E764" s="6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8"/>
      <c r="AW764" s="6"/>
    </row>
    <row r="765" spans="1:49" ht="15.75" customHeight="1">
      <c r="A765" s="6"/>
      <c r="B765" s="6"/>
      <c r="C765" s="6"/>
      <c r="D765" s="8"/>
      <c r="E765" s="6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8"/>
      <c r="AW765" s="6"/>
    </row>
    <row r="766" spans="1:49" ht="15.75" customHeight="1">
      <c r="A766" s="6"/>
      <c r="B766" s="6"/>
      <c r="C766" s="6"/>
      <c r="D766" s="8"/>
      <c r="E766" s="6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8"/>
      <c r="AW766" s="6"/>
    </row>
    <row r="767" spans="1:49" ht="15.75" customHeight="1">
      <c r="A767" s="6"/>
      <c r="B767" s="6"/>
      <c r="C767" s="6"/>
      <c r="D767" s="8"/>
      <c r="E767" s="6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8"/>
      <c r="AW767" s="6"/>
    </row>
    <row r="768" spans="1:49" ht="15.75" customHeight="1">
      <c r="A768" s="6"/>
      <c r="B768" s="6"/>
      <c r="C768" s="6"/>
      <c r="D768" s="8"/>
      <c r="E768" s="6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8"/>
      <c r="AW768" s="6"/>
    </row>
    <row r="769" spans="1:49" ht="15.75" customHeight="1">
      <c r="A769" s="6"/>
      <c r="B769" s="6"/>
      <c r="C769" s="6"/>
      <c r="D769" s="8"/>
      <c r="E769" s="6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8"/>
      <c r="AW769" s="6"/>
    </row>
    <row r="770" spans="1:49" ht="15.75" customHeight="1">
      <c r="A770" s="6"/>
      <c r="B770" s="6"/>
      <c r="C770" s="6"/>
      <c r="D770" s="8"/>
      <c r="E770" s="6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8"/>
      <c r="AW770" s="6"/>
    </row>
    <row r="771" spans="1:49" ht="15.75" customHeight="1">
      <c r="A771" s="6"/>
      <c r="B771" s="6"/>
      <c r="C771" s="6"/>
      <c r="D771" s="8"/>
      <c r="E771" s="6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8"/>
      <c r="AW771" s="6"/>
    </row>
    <row r="772" spans="1:49" ht="15.75" customHeight="1">
      <c r="A772" s="6"/>
      <c r="B772" s="6"/>
      <c r="C772" s="6"/>
      <c r="D772" s="8"/>
      <c r="E772" s="6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8"/>
      <c r="AW772" s="6"/>
    </row>
    <row r="773" spans="1:49" ht="15.75" customHeight="1">
      <c r="A773" s="6"/>
      <c r="B773" s="6"/>
      <c r="C773" s="6"/>
      <c r="D773" s="8"/>
      <c r="E773" s="6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8"/>
      <c r="AW773" s="6"/>
    </row>
    <row r="774" spans="1:49" ht="15.75" customHeight="1">
      <c r="A774" s="6"/>
      <c r="B774" s="6"/>
      <c r="C774" s="6"/>
      <c r="D774" s="8"/>
      <c r="E774" s="6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8"/>
      <c r="AW774" s="6"/>
    </row>
    <row r="775" spans="1:49" ht="15.75" customHeight="1">
      <c r="A775" s="6"/>
      <c r="B775" s="6"/>
      <c r="C775" s="6"/>
      <c r="D775" s="8"/>
      <c r="E775" s="6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8"/>
      <c r="AW775" s="6"/>
    </row>
    <row r="776" spans="1:49" ht="15.75" customHeight="1">
      <c r="A776" s="6"/>
      <c r="B776" s="6"/>
      <c r="C776" s="6"/>
      <c r="D776" s="8"/>
      <c r="E776" s="6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8"/>
      <c r="AW776" s="6"/>
    </row>
    <row r="777" spans="1:49" ht="15.75" customHeight="1">
      <c r="A777" s="6"/>
      <c r="B777" s="6"/>
      <c r="C777" s="6"/>
      <c r="D777" s="8"/>
      <c r="E777" s="6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8"/>
      <c r="AW777" s="6"/>
    </row>
    <row r="778" spans="1:49" ht="15.75" customHeight="1">
      <c r="A778" s="6"/>
      <c r="B778" s="6"/>
      <c r="C778" s="6"/>
      <c r="D778" s="8"/>
      <c r="E778" s="6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8"/>
      <c r="AW778" s="6"/>
    </row>
    <row r="779" spans="1:49" ht="15.75" customHeight="1">
      <c r="A779" s="6"/>
      <c r="B779" s="6"/>
      <c r="C779" s="6"/>
      <c r="D779" s="8"/>
      <c r="E779" s="6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8"/>
      <c r="AW779" s="6"/>
    </row>
    <row r="780" spans="1:49" ht="15.75" customHeight="1">
      <c r="A780" s="6"/>
      <c r="B780" s="6"/>
      <c r="C780" s="6"/>
      <c r="D780" s="8"/>
      <c r="E780" s="6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8"/>
      <c r="AW780" s="6"/>
    </row>
    <row r="781" spans="1:49" ht="15.75" customHeight="1">
      <c r="A781" s="6"/>
      <c r="B781" s="6"/>
      <c r="C781" s="6"/>
      <c r="D781" s="8"/>
      <c r="E781" s="6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8"/>
      <c r="AW781" s="6"/>
    </row>
    <row r="782" spans="1:49" ht="15.75" customHeight="1">
      <c r="A782" s="6"/>
      <c r="B782" s="6"/>
      <c r="C782" s="6"/>
      <c r="D782" s="8"/>
      <c r="E782" s="6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8"/>
      <c r="AW782" s="6"/>
    </row>
    <row r="783" spans="1:49" ht="15.75" customHeight="1">
      <c r="A783" s="6"/>
      <c r="B783" s="6"/>
      <c r="C783" s="6"/>
      <c r="D783" s="8"/>
      <c r="E783" s="6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8"/>
      <c r="AW783" s="6"/>
    </row>
    <row r="784" spans="1:49" ht="15.75" customHeight="1">
      <c r="A784" s="6"/>
      <c r="B784" s="6"/>
      <c r="C784" s="6"/>
      <c r="D784" s="8"/>
      <c r="E784" s="6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8"/>
      <c r="AW784" s="6"/>
    </row>
    <row r="785" spans="1:49" ht="15.75" customHeight="1">
      <c r="A785" s="6"/>
      <c r="B785" s="6"/>
      <c r="C785" s="6"/>
      <c r="D785" s="8"/>
      <c r="E785" s="6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8"/>
      <c r="AW785" s="6"/>
    </row>
    <row r="786" spans="1:49" ht="15.75" customHeight="1">
      <c r="A786" s="6"/>
      <c r="B786" s="6"/>
      <c r="C786" s="6"/>
      <c r="D786" s="8"/>
      <c r="E786" s="6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8"/>
      <c r="AW786" s="6"/>
    </row>
    <row r="787" spans="1:49" ht="15.75" customHeight="1">
      <c r="A787" s="6"/>
      <c r="B787" s="6"/>
      <c r="C787" s="6"/>
      <c r="D787" s="8"/>
      <c r="E787" s="6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8"/>
      <c r="AW787" s="6"/>
    </row>
    <row r="788" spans="1:49" ht="15.75" customHeight="1">
      <c r="A788" s="6"/>
      <c r="B788" s="6"/>
      <c r="C788" s="6"/>
      <c r="D788" s="8"/>
      <c r="E788" s="6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8"/>
      <c r="AW788" s="6"/>
    </row>
    <row r="789" spans="1:49" ht="15.75" customHeight="1">
      <c r="A789" s="6"/>
      <c r="B789" s="6"/>
      <c r="C789" s="6"/>
      <c r="D789" s="8"/>
      <c r="E789" s="6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8"/>
      <c r="AW789" s="6"/>
    </row>
    <row r="790" spans="1:49" ht="15.75" customHeight="1">
      <c r="A790" s="6"/>
      <c r="B790" s="6"/>
      <c r="C790" s="6"/>
      <c r="D790" s="8"/>
      <c r="E790" s="6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8"/>
      <c r="AW790" s="6"/>
    </row>
    <row r="791" spans="1:49" ht="15.75" customHeight="1">
      <c r="A791" s="6"/>
      <c r="B791" s="6"/>
      <c r="C791" s="6"/>
      <c r="D791" s="8"/>
      <c r="E791" s="6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8"/>
      <c r="AW791" s="6"/>
    </row>
    <row r="792" spans="1:49" ht="15.75" customHeight="1">
      <c r="A792" s="6"/>
      <c r="B792" s="6"/>
      <c r="C792" s="6"/>
      <c r="D792" s="8"/>
      <c r="E792" s="6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8"/>
      <c r="AW792" s="6"/>
    </row>
    <row r="793" spans="1:49" ht="15.75" customHeight="1">
      <c r="A793" s="6"/>
      <c r="B793" s="6"/>
      <c r="C793" s="6"/>
      <c r="D793" s="8"/>
      <c r="E793" s="6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8"/>
      <c r="AW793" s="6"/>
    </row>
    <row r="794" spans="1:49" ht="15.75" customHeight="1">
      <c r="A794" s="6"/>
      <c r="B794" s="6"/>
      <c r="C794" s="6"/>
      <c r="D794" s="8"/>
      <c r="E794" s="6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8"/>
      <c r="AW794" s="6"/>
    </row>
    <row r="795" spans="1:49" ht="15.75" customHeight="1">
      <c r="A795" s="6"/>
      <c r="B795" s="6"/>
      <c r="C795" s="6"/>
      <c r="D795" s="8"/>
      <c r="E795" s="6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8"/>
      <c r="AW795" s="6"/>
    </row>
    <row r="796" spans="1:49" ht="15.75" customHeight="1">
      <c r="A796" s="6"/>
      <c r="B796" s="6"/>
      <c r="C796" s="6"/>
      <c r="D796" s="8"/>
      <c r="E796" s="6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8"/>
      <c r="AW796" s="6"/>
    </row>
    <row r="797" spans="1:49" ht="15.75" customHeight="1">
      <c r="A797" s="6"/>
      <c r="B797" s="6"/>
      <c r="C797" s="6"/>
      <c r="D797" s="8"/>
      <c r="E797" s="6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8"/>
      <c r="AW797" s="6"/>
    </row>
    <row r="798" spans="1:49" ht="15.75" customHeight="1">
      <c r="A798" s="6"/>
      <c r="B798" s="6"/>
      <c r="C798" s="6"/>
      <c r="D798" s="8"/>
      <c r="E798" s="6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8"/>
      <c r="AW798" s="6"/>
    </row>
    <row r="799" spans="1:49" ht="15.75" customHeight="1">
      <c r="A799" s="6"/>
      <c r="B799" s="6"/>
      <c r="C799" s="6"/>
      <c r="D799" s="8"/>
      <c r="E799" s="6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8"/>
      <c r="AW799" s="6"/>
    </row>
    <row r="800" spans="1:49" ht="15.75" customHeight="1">
      <c r="A800" s="6"/>
      <c r="B800" s="6"/>
      <c r="C800" s="6"/>
      <c r="D800" s="8"/>
      <c r="E800" s="6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8"/>
      <c r="AW800" s="6"/>
    </row>
    <row r="801" spans="1:49" ht="15.75" customHeight="1">
      <c r="A801" s="6"/>
      <c r="B801" s="6"/>
      <c r="C801" s="6"/>
      <c r="D801" s="8"/>
      <c r="E801" s="6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8"/>
      <c r="AW801" s="6"/>
    </row>
    <row r="802" spans="1:49" ht="15.75" customHeight="1">
      <c r="A802" s="6"/>
      <c r="B802" s="6"/>
      <c r="C802" s="6"/>
      <c r="D802" s="8"/>
      <c r="E802" s="6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8"/>
      <c r="AW802" s="6"/>
    </row>
    <row r="803" spans="1:49" ht="15.75" customHeight="1">
      <c r="A803" s="6"/>
      <c r="B803" s="6"/>
      <c r="C803" s="6"/>
      <c r="D803" s="8"/>
      <c r="E803" s="6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8"/>
      <c r="AW803" s="6"/>
    </row>
    <row r="804" spans="1:49" ht="15.75" customHeight="1">
      <c r="A804" s="6"/>
      <c r="B804" s="6"/>
      <c r="C804" s="6"/>
      <c r="D804" s="8"/>
      <c r="E804" s="6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8"/>
      <c r="AW804" s="6"/>
    </row>
    <row r="805" spans="1:49" ht="15.75" customHeight="1">
      <c r="A805" s="6"/>
      <c r="B805" s="6"/>
      <c r="C805" s="6"/>
      <c r="D805" s="8"/>
      <c r="E805" s="6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8"/>
      <c r="AW805" s="6"/>
    </row>
    <row r="806" spans="1:49" ht="15.75" customHeight="1">
      <c r="A806" s="6"/>
      <c r="B806" s="6"/>
      <c r="C806" s="6"/>
      <c r="D806" s="8"/>
      <c r="E806" s="6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8"/>
      <c r="AW806" s="6"/>
    </row>
    <row r="807" spans="1:49" ht="15.75" customHeight="1">
      <c r="A807" s="6"/>
      <c r="B807" s="6"/>
      <c r="C807" s="6"/>
      <c r="D807" s="8"/>
      <c r="E807" s="6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8"/>
      <c r="AW807" s="6"/>
    </row>
    <row r="808" spans="1:49" ht="15.75" customHeight="1">
      <c r="A808" s="6"/>
      <c r="B808" s="6"/>
      <c r="C808" s="6"/>
      <c r="D808" s="8"/>
      <c r="E808" s="6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8"/>
      <c r="AW808" s="6"/>
    </row>
    <row r="809" spans="1:49" ht="15.75" customHeight="1">
      <c r="A809" s="6"/>
      <c r="B809" s="6"/>
      <c r="C809" s="6"/>
      <c r="D809" s="8"/>
      <c r="E809" s="6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8"/>
      <c r="AW809" s="6"/>
    </row>
    <row r="810" spans="1:49" ht="15.75" customHeight="1">
      <c r="A810" s="6"/>
      <c r="B810" s="6"/>
      <c r="C810" s="6"/>
      <c r="D810" s="8"/>
      <c r="E810" s="6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8"/>
      <c r="AW810" s="6"/>
    </row>
    <row r="811" spans="1:49" ht="15.75" customHeight="1">
      <c r="A811" s="6"/>
      <c r="B811" s="6"/>
      <c r="C811" s="6"/>
      <c r="D811" s="8"/>
      <c r="E811" s="6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8"/>
      <c r="AW811" s="6"/>
    </row>
    <row r="812" spans="1:49" ht="15.75" customHeight="1">
      <c r="A812" s="6"/>
      <c r="B812" s="6"/>
      <c r="C812" s="6"/>
      <c r="D812" s="8"/>
      <c r="E812" s="6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8"/>
      <c r="AW812" s="6"/>
    </row>
    <row r="813" spans="1:49" ht="15.75" customHeight="1">
      <c r="A813" s="6"/>
      <c r="B813" s="6"/>
      <c r="C813" s="6"/>
      <c r="D813" s="8"/>
      <c r="E813" s="6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8"/>
      <c r="AW813" s="6"/>
    </row>
    <row r="814" spans="1:49" ht="15.75" customHeight="1">
      <c r="A814" s="6"/>
      <c r="B814" s="6"/>
      <c r="C814" s="6"/>
      <c r="D814" s="8"/>
      <c r="E814" s="6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8"/>
      <c r="AW814" s="6"/>
    </row>
    <row r="815" spans="1:49" ht="15.75" customHeight="1">
      <c r="A815" s="6"/>
      <c r="B815" s="6"/>
      <c r="C815" s="6"/>
      <c r="D815" s="8"/>
      <c r="E815" s="6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8"/>
      <c r="AW815" s="6"/>
    </row>
    <row r="816" spans="1:49" ht="15.75" customHeight="1">
      <c r="A816" s="6"/>
      <c r="B816" s="6"/>
      <c r="C816" s="6"/>
      <c r="D816" s="8"/>
      <c r="E816" s="6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8"/>
      <c r="AW816" s="6"/>
    </row>
    <row r="817" spans="1:49" ht="15.75" customHeight="1">
      <c r="A817" s="6"/>
      <c r="B817" s="6"/>
      <c r="C817" s="6"/>
      <c r="D817" s="8"/>
      <c r="E817" s="6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8"/>
      <c r="AW817" s="6"/>
    </row>
    <row r="818" spans="1:49" ht="15.75" customHeight="1">
      <c r="A818" s="6"/>
      <c r="B818" s="6"/>
      <c r="C818" s="6"/>
      <c r="D818" s="8"/>
      <c r="E818" s="6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8"/>
      <c r="AW818" s="6"/>
    </row>
    <row r="819" spans="1:49" ht="15.75" customHeight="1">
      <c r="A819" s="6"/>
      <c r="B819" s="6"/>
      <c r="C819" s="6"/>
      <c r="D819" s="8"/>
      <c r="E819" s="6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8"/>
      <c r="AW819" s="6"/>
    </row>
    <row r="820" spans="1:49" ht="15.75" customHeight="1">
      <c r="A820" s="6"/>
      <c r="B820" s="6"/>
      <c r="C820" s="6"/>
      <c r="D820" s="8"/>
      <c r="E820" s="6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8"/>
      <c r="AW820" s="6"/>
    </row>
    <row r="821" spans="1:49" ht="15.75" customHeight="1">
      <c r="A821" s="6"/>
      <c r="B821" s="6"/>
      <c r="C821" s="6"/>
      <c r="D821" s="8"/>
      <c r="E821" s="6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8"/>
      <c r="AW821" s="6"/>
    </row>
    <row r="822" spans="1:49" ht="15.75" customHeight="1">
      <c r="A822" s="6"/>
      <c r="B822" s="6"/>
      <c r="C822" s="6"/>
      <c r="D822" s="8"/>
      <c r="E822" s="6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8"/>
      <c r="AW822" s="6"/>
    </row>
    <row r="823" spans="1:49" ht="15.75" customHeight="1">
      <c r="A823" s="6"/>
      <c r="B823" s="6"/>
      <c r="C823" s="6"/>
      <c r="D823" s="8"/>
      <c r="E823" s="6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8"/>
      <c r="AW823" s="6"/>
    </row>
    <row r="824" spans="1:49" ht="15.75" customHeight="1">
      <c r="A824" s="6"/>
      <c r="B824" s="6"/>
      <c r="C824" s="6"/>
      <c r="D824" s="8"/>
      <c r="E824" s="6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8"/>
      <c r="AW824" s="6"/>
    </row>
    <row r="825" spans="1:49" ht="15.75" customHeight="1">
      <c r="A825" s="6"/>
      <c r="B825" s="6"/>
      <c r="C825" s="6"/>
      <c r="D825" s="8"/>
      <c r="E825" s="6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8"/>
      <c r="AW825" s="6"/>
    </row>
    <row r="826" spans="1:49" ht="15.75" customHeight="1">
      <c r="A826" s="6"/>
      <c r="B826" s="6"/>
      <c r="C826" s="6"/>
      <c r="D826" s="8"/>
      <c r="E826" s="6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8"/>
      <c r="AW826" s="6"/>
    </row>
    <row r="827" spans="1:49" ht="15.75" customHeight="1">
      <c r="A827" s="6"/>
      <c r="B827" s="6"/>
      <c r="C827" s="6"/>
      <c r="D827" s="8"/>
      <c r="E827" s="6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8"/>
      <c r="AW827" s="6"/>
    </row>
    <row r="828" spans="1:49" ht="15.75" customHeight="1">
      <c r="A828" s="6"/>
      <c r="B828" s="6"/>
      <c r="C828" s="6"/>
      <c r="D828" s="8"/>
      <c r="E828" s="6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8"/>
      <c r="AW828" s="6"/>
    </row>
    <row r="829" spans="1:49" ht="15.75" customHeight="1">
      <c r="A829" s="6"/>
      <c r="B829" s="6"/>
      <c r="C829" s="6"/>
      <c r="D829" s="8"/>
      <c r="E829" s="6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8"/>
      <c r="AW829" s="6"/>
    </row>
    <row r="830" spans="1:49" ht="15.75" customHeight="1">
      <c r="A830" s="6"/>
      <c r="B830" s="6"/>
      <c r="C830" s="6"/>
      <c r="D830" s="8"/>
      <c r="E830" s="6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8"/>
      <c r="AW830" s="6"/>
    </row>
    <row r="831" spans="1:49" ht="15.75" customHeight="1">
      <c r="A831" s="6"/>
      <c r="B831" s="6"/>
      <c r="C831" s="6"/>
      <c r="D831" s="8"/>
      <c r="E831" s="6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8"/>
      <c r="AW831" s="6"/>
    </row>
    <row r="832" spans="1:49" ht="15.75" customHeight="1">
      <c r="A832" s="6"/>
      <c r="B832" s="6"/>
      <c r="C832" s="6"/>
      <c r="D832" s="8"/>
      <c r="E832" s="6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8"/>
      <c r="AW832" s="6"/>
    </row>
    <row r="833" spans="1:49" ht="15.75" customHeight="1">
      <c r="A833" s="6"/>
      <c r="B833" s="6"/>
      <c r="C833" s="6"/>
      <c r="D833" s="8"/>
      <c r="E833" s="6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8"/>
      <c r="AW833" s="6"/>
    </row>
    <row r="834" spans="1:49" ht="15.75" customHeight="1">
      <c r="A834" s="6"/>
      <c r="B834" s="6"/>
      <c r="C834" s="6"/>
      <c r="D834" s="8"/>
      <c r="E834" s="6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8"/>
      <c r="AW834" s="6"/>
    </row>
    <row r="835" spans="1:49" ht="15.75" customHeight="1">
      <c r="A835" s="6"/>
      <c r="B835" s="6"/>
      <c r="C835" s="6"/>
      <c r="D835" s="8"/>
      <c r="E835" s="6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8"/>
      <c r="AW835" s="6"/>
    </row>
    <row r="836" spans="1:49" ht="15.75" customHeight="1">
      <c r="A836" s="6"/>
      <c r="B836" s="6"/>
      <c r="C836" s="6"/>
      <c r="D836" s="8"/>
      <c r="E836" s="6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8"/>
      <c r="AW836" s="6"/>
    </row>
    <row r="837" spans="1:49" ht="15.75" customHeight="1">
      <c r="A837" s="6"/>
      <c r="B837" s="6"/>
      <c r="C837" s="6"/>
      <c r="D837" s="8"/>
      <c r="E837" s="6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8"/>
      <c r="AW837" s="6"/>
    </row>
    <row r="838" spans="1:49" ht="15.75" customHeight="1">
      <c r="A838" s="6"/>
      <c r="B838" s="6"/>
      <c r="C838" s="6"/>
      <c r="D838" s="8"/>
      <c r="E838" s="6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8"/>
      <c r="AW838" s="6"/>
    </row>
    <row r="839" spans="1:49" ht="15.75" customHeight="1">
      <c r="A839" s="6"/>
      <c r="B839" s="6"/>
      <c r="C839" s="6"/>
      <c r="D839" s="8"/>
      <c r="E839" s="6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8"/>
      <c r="AW839" s="6"/>
    </row>
    <row r="840" spans="1:49" ht="15.75" customHeight="1">
      <c r="A840" s="6"/>
      <c r="B840" s="6"/>
      <c r="C840" s="6"/>
      <c r="D840" s="8"/>
      <c r="E840" s="6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8"/>
      <c r="AW840" s="6"/>
    </row>
    <row r="841" spans="1:49" ht="15.75" customHeight="1">
      <c r="A841" s="6"/>
      <c r="B841" s="6"/>
      <c r="C841" s="6"/>
      <c r="D841" s="8"/>
      <c r="E841" s="6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8"/>
      <c r="AW841" s="6"/>
    </row>
    <row r="842" spans="1:49" ht="15.75" customHeight="1">
      <c r="A842" s="6"/>
      <c r="B842" s="6"/>
      <c r="C842" s="6"/>
      <c r="D842" s="8"/>
      <c r="E842" s="6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8"/>
      <c r="AW842" s="6"/>
    </row>
    <row r="843" spans="1:49" ht="15.75" customHeight="1">
      <c r="A843" s="6"/>
      <c r="B843" s="6"/>
      <c r="C843" s="6"/>
      <c r="D843" s="8"/>
      <c r="E843" s="6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8"/>
      <c r="AW843" s="6"/>
    </row>
    <row r="844" spans="1:49" ht="15.75" customHeight="1">
      <c r="A844" s="6"/>
      <c r="B844" s="6"/>
      <c r="C844" s="6"/>
      <c r="D844" s="8"/>
      <c r="E844" s="6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8"/>
      <c r="AW844" s="6"/>
    </row>
    <row r="845" spans="1:49" ht="15.75" customHeight="1">
      <c r="A845" s="6"/>
      <c r="B845" s="6"/>
      <c r="C845" s="6"/>
      <c r="D845" s="8"/>
      <c r="E845" s="6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8"/>
      <c r="AW845" s="6"/>
    </row>
    <row r="846" spans="1:49" ht="15.75" customHeight="1">
      <c r="A846" s="6"/>
      <c r="B846" s="6"/>
      <c r="C846" s="6"/>
      <c r="D846" s="8"/>
      <c r="E846" s="6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8"/>
      <c r="AW846" s="6"/>
    </row>
    <row r="847" spans="1:49" ht="15.75" customHeight="1">
      <c r="A847" s="6"/>
      <c r="B847" s="6"/>
      <c r="C847" s="6"/>
      <c r="D847" s="8"/>
      <c r="E847" s="6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8"/>
      <c r="AW847" s="6"/>
    </row>
    <row r="848" spans="1:49" ht="15.75" customHeight="1">
      <c r="A848" s="6"/>
      <c r="B848" s="6"/>
      <c r="C848" s="6"/>
      <c r="D848" s="8"/>
      <c r="E848" s="6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8"/>
      <c r="AW848" s="6"/>
    </row>
    <row r="849" spans="1:49" ht="15.75" customHeight="1">
      <c r="A849" s="6"/>
      <c r="B849" s="6"/>
      <c r="C849" s="6"/>
      <c r="D849" s="8"/>
      <c r="E849" s="6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8"/>
      <c r="AW849" s="6"/>
    </row>
    <row r="850" spans="1:49" ht="15.75" customHeight="1">
      <c r="A850" s="6"/>
      <c r="B850" s="6"/>
      <c r="C850" s="6"/>
      <c r="D850" s="8"/>
      <c r="E850" s="6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8"/>
      <c r="AW850" s="6"/>
    </row>
  </sheetData>
  <autoFilter ref="A1:AV23" xr:uid="{00000000-0009-0000-0000-000000000000}"/>
  <phoneticPr fontId="4" type="noConversion"/>
  <hyperlinks>
    <hyperlink ref="I2" r:id="rId1" xr:uid="{E54C8ACC-E00E-47C3-B29B-90457636ED73}"/>
    <hyperlink ref="M2" r:id="rId2" xr:uid="{6D3BED97-47B2-4E3F-8546-97BC5AD23B14}"/>
    <hyperlink ref="Q2" r:id="rId3" xr:uid="{1D941F5E-55EB-4525-997D-1EF4F2235CD3}"/>
    <hyperlink ref="Y2" r:id="rId4" xr:uid="{C2C30590-F589-47FA-8669-83DB0B1C8E51}"/>
    <hyperlink ref="AC2" r:id="rId5" xr:uid="{603D4E23-CF3A-4C5B-AAEA-82C740871B58}"/>
    <hyperlink ref="AG2" r:id="rId6" xr:uid="{CFCF44FF-3D81-472C-A788-289864A77B3E}"/>
    <hyperlink ref="AK2" r:id="rId7" xr:uid="{0A084715-D4AF-443F-B9EB-8F6EFA48DF45}"/>
    <hyperlink ref="AO2" r:id="rId8" xr:uid="{CF6B4FBF-79F3-45A3-BA75-50BC6469ED50}"/>
    <hyperlink ref="Q3" r:id="rId9" xr:uid="{652F96C8-DFF5-438A-ADBB-7D9B9E17C2FE}"/>
    <hyperlink ref="U3" r:id="rId10" xr:uid="{286E5C1F-4C9F-4D06-A0DA-F48E796BAEC3}"/>
    <hyperlink ref="AG3" r:id="rId11" xr:uid="{B779061A-0A94-4520-95D6-F764DC10B85E}"/>
    <hyperlink ref="Y3" r:id="rId12" xr:uid="{11734909-9C14-404B-80D6-9F01B99C6076}"/>
    <hyperlink ref="AC3" r:id="rId13" xr:uid="{BB607720-2D09-4DF8-B58C-EC23F915585B}"/>
    <hyperlink ref="AK3" r:id="rId14" xr:uid="{B38827BB-7C83-4FAB-A588-D2F67127934E}"/>
    <hyperlink ref="AO3" r:id="rId15" xr:uid="{B7950329-9B67-4984-80D6-EFBF2DE231BE}"/>
    <hyperlink ref="M4" r:id="rId16" xr:uid="{17CC0E9A-9CB2-40B2-93CA-434541BBAF9D}"/>
    <hyperlink ref="Q4" r:id="rId17" xr:uid="{E93A4F00-FA4E-4EAD-9F44-277F8348675D}"/>
    <hyperlink ref="U4" r:id="rId18" xr:uid="{ED851A67-D59C-45F7-8188-0256193AAF3B}"/>
    <hyperlink ref="Y4" r:id="rId19" xr:uid="{76B6A9C7-EB4D-4469-810B-5AB61CCA6457}"/>
    <hyperlink ref="AC4" r:id="rId20" xr:uid="{3C99AE9C-CD1A-41DB-B5B9-04A0125ED205}"/>
    <hyperlink ref="AG4" r:id="rId21" xr:uid="{820A4EF8-68D2-4690-920A-C3936E6E5F71}"/>
    <hyperlink ref="AK4" r:id="rId22" xr:uid="{1564FB4F-E89F-4C73-BE13-C3F35D237F5E}"/>
    <hyperlink ref="AO4" r:id="rId23" xr:uid="{2C6C8038-C900-4823-8217-10934C6DA7CA}"/>
    <hyperlink ref="Q5" r:id="rId24" xr:uid="{3AEC6CEB-C964-4197-811A-38D5600ECB5C}"/>
    <hyperlink ref="U5" r:id="rId25" xr:uid="{1BD64A6A-5C47-4399-B3E9-0A42C97291B6}"/>
    <hyperlink ref="Y5" r:id="rId26" xr:uid="{F9487F20-63A5-4DD6-9729-5770C6B50090}"/>
    <hyperlink ref="AC5" r:id="rId27" xr:uid="{4C44494F-248C-43BE-BE60-CADC4D01B535}"/>
    <hyperlink ref="AG5" r:id="rId28" xr:uid="{6D14803C-7AA4-47B9-8A42-4B3459FC4533}"/>
    <hyperlink ref="AK5" r:id="rId29" xr:uid="{4C79E9F4-CC7D-4641-A1DD-B37AB596650D}"/>
    <hyperlink ref="I6" r:id="rId30" xr:uid="{BD146625-8D1E-480B-A177-4F987F4DCAED}"/>
    <hyperlink ref="M6" r:id="rId31" xr:uid="{80F3981F-6DDF-4B2F-BE28-CEFB8050336B}"/>
    <hyperlink ref="Q6" r:id="rId32" xr:uid="{A6135E4A-270B-4EC8-8B35-0E7814A0BE18}"/>
    <hyperlink ref="U6" r:id="rId33" xr:uid="{A373F73C-AF0A-4857-A3F7-47CDC28AFED7}"/>
    <hyperlink ref="Y6" r:id="rId34" xr:uid="{4344AC6C-CEDC-4C91-AD49-76A9E108EFF1}"/>
    <hyperlink ref="AC6" r:id="rId35" xr:uid="{019E0FF4-D30D-4EE8-9722-C9DFCE7912AB}"/>
    <hyperlink ref="AG6" r:id="rId36" xr:uid="{BB0787EB-362B-40AE-A9D5-4474084500CF}"/>
    <hyperlink ref="AK6" r:id="rId37" xr:uid="{0E991746-FF1C-42EC-8FC8-32D3B5A9E450}"/>
    <hyperlink ref="AO6" r:id="rId38" xr:uid="{B24612EC-14B4-428B-ACE4-F2F4D450CE00}"/>
    <hyperlink ref="I7" r:id="rId39" xr:uid="{857A779A-F6EF-455E-AF26-ED222B6EE1EA}"/>
    <hyperlink ref="M7" r:id="rId40" xr:uid="{3BC9639C-6945-42BC-821F-C45ED0E93D21}"/>
    <hyperlink ref="Q7" r:id="rId41" xr:uid="{36EEFE62-97DC-47B8-BC69-16C9A1076C3C}"/>
    <hyperlink ref="U7" r:id="rId42" xr:uid="{F78765BF-4B39-4201-A941-468009DBC77B}"/>
    <hyperlink ref="AC7" r:id="rId43" xr:uid="{2CF2D253-BFD6-46AD-B8A9-23FAC911DFB5}"/>
    <hyperlink ref="AG7" r:id="rId44" xr:uid="{19E0AF50-CFAD-488C-B78A-5709785EC8DF}"/>
    <hyperlink ref="AK7" r:id="rId45" xr:uid="{1BAEF616-3B92-4B03-A28F-101155329F0A}"/>
    <hyperlink ref="Q9" r:id="rId46" xr:uid="{402EFF2A-4FED-45DE-BD6F-B0CA5E75B838}"/>
    <hyperlink ref="U9" r:id="rId47" xr:uid="{2A0E1DC6-FC65-46FD-AD8C-FEED8FC5204D}"/>
    <hyperlink ref="M9" r:id="rId48" xr:uid="{6D1ABC1A-836E-48E3-8F1F-61FC1BE45240}"/>
    <hyperlink ref="I9" r:id="rId49" xr:uid="{1AB7B5E4-FC3D-48EF-98EA-CC197982D0D3}"/>
    <hyperlink ref="Y9" r:id="rId50" xr:uid="{DB89E0B0-241D-4EC5-BFEE-C9E7B338042C}"/>
    <hyperlink ref="AC9" r:id="rId51" xr:uid="{FB25CA8F-1D84-4154-B106-78303DD12F3D}"/>
    <hyperlink ref="AG9" r:id="rId52" xr:uid="{36A4129B-8652-406A-BC65-BE4F4CF2EB13}"/>
    <hyperlink ref="AK9" r:id="rId53" xr:uid="{93C60DA2-8A0C-4CAE-B1DB-C0F7E8D57BD0}"/>
    <hyperlink ref="AO9" r:id="rId54" xr:uid="{D81346EB-FDD3-499E-A810-D7326B720911}"/>
    <hyperlink ref="I10" r:id="rId55" xr:uid="{DFF1364B-FD63-4ADB-B5C2-56D1EEE11894}"/>
    <hyperlink ref="M10" r:id="rId56" xr:uid="{342004E1-7EDD-47E9-8442-E96673E1D578}"/>
    <hyperlink ref="Q10" r:id="rId57" xr:uid="{FD8D27A7-9698-467D-8614-967DD0ACD0A4}"/>
    <hyperlink ref="U10" r:id="rId58" xr:uid="{DCC1323B-3199-4274-9708-C1DBCFBBC689}"/>
    <hyperlink ref="AG10" r:id="rId59" xr:uid="{0FAA1B6F-366D-4EE1-9C2E-BDF1BD679F9C}"/>
    <hyperlink ref="AK10" r:id="rId60" xr:uid="{2A38D00B-DF94-4FB4-A8ED-495BEAADB492}"/>
    <hyperlink ref="AO10" r:id="rId61" xr:uid="{385A48BF-36FF-493D-89BB-D6F2BEB6CD5D}"/>
    <hyperlink ref="I11" r:id="rId62" xr:uid="{4A443FB5-EE91-4B62-902C-3581FB4F1456}"/>
    <hyperlink ref="M11" r:id="rId63" xr:uid="{15C1B801-6654-4CA8-B948-A142C248E753}"/>
    <hyperlink ref="Q11" r:id="rId64" xr:uid="{3F8B9098-81A9-408C-B2B6-55005F138194}"/>
    <hyperlink ref="U11" r:id="rId65" xr:uid="{65743B2F-62C5-46DD-A677-8DCC01722728}"/>
    <hyperlink ref="Y11" r:id="rId66" xr:uid="{DBCFF4B7-F34E-4334-A299-A54E205A6D8E}"/>
    <hyperlink ref="AC11" r:id="rId67" xr:uid="{7DDD3B31-5EAD-4C44-B290-1915D805D5B5}"/>
    <hyperlink ref="AG11" r:id="rId68" xr:uid="{B8D68003-D804-45C2-8A45-48410025EF4E}"/>
    <hyperlink ref="AK11" r:id="rId69" xr:uid="{A6562013-22A1-4160-88A3-D7F787F5F173}"/>
    <hyperlink ref="AO11" r:id="rId70" xr:uid="{53640B1B-96CD-4AE6-AFC3-66ACBEDD6325}"/>
    <hyperlink ref="I12" r:id="rId71" xr:uid="{F8B3C9C0-69BC-4177-AD31-CE927C92422E}"/>
    <hyperlink ref="M12" r:id="rId72" xr:uid="{36816172-3648-4E4C-9715-FAD64DDD2F4E}"/>
    <hyperlink ref="Q12" r:id="rId73" xr:uid="{EFBA7D28-2925-41F2-B3FE-427518FA2F29}"/>
    <hyperlink ref="U12" r:id="rId74" xr:uid="{3EE7D104-2409-4AE1-9940-E951C870186B}"/>
    <hyperlink ref="Y12" r:id="rId75" xr:uid="{ED687EC6-005A-451E-A776-A1D3016F2720}"/>
    <hyperlink ref="AC12" r:id="rId76" xr:uid="{AA57F38D-13FB-4B85-AB85-CE6180E34200}"/>
    <hyperlink ref="AG12" r:id="rId77" xr:uid="{79D85FC1-087A-4A45-96D2-93E89648C157}"/>
    <hyperlink ref="AK12" r:id="rId78" xr:uid="{C1045199-5DA0-466B-B722-FEE75A0CF190}"/>
    <hyperlink ref="AO12" r:id="rId79" xr:uid="{3A29D81D-27BA-487D-ADCF-4E48735E2BAB}"/>
    <hyperlink ref="I13" r:id="rId80" xr:uid="{BFD9504C-6ADB-4AD3-95E1-E49158F8A139}"/>
    <hyperlink ref="M13" r:id="rId81" xr:uid="{A46DEEEA-FB3D-41AD-8D36-C16E6CEC6538}"/>
    <hyperlink ref="I15" r:id="rId82" xr:uid="{894D24F7-F107-4898-9460-A448C6D5DDA4}"/>
    <hyperlink ref="M15" r:id="rId83" xr:uid="{CE45B274-2F05-49AB-AAD5-4C867DBAC220}"/>
    <hyperlink ref="Q15" r:id="rId84" xr:uid="{E19E78EF-7F47-466B-BF84-F0B583BDD8F9}"/>
    <hyperlink ref="U15" r:id="rId85" xr:uid="{AAC1777B-3DD5-472A-A9F6-A7B6F74AD81A}"/>
    <hyperlink ref="AC15" r:id="rId86" xr:uid="{857A8723-DB4C-407F-ABE7-3569DA989525}"/>
    <hyperlink ref="AG15" r:id="rId87" xr:uid="{5FC42F93-6C43-4170-9D6B-A7F4CD1BC3AC}"/>
    <hyperlink ref="AK15" r:id="rId88" xr:uid="{32864DD3-D8DF-497B-A5D4-2AC5C6AF23AD}"/>
    <hyperlink ref="M17" r:id="rId89" xr:uid="{42C243EE-47B4-41F9-A98D-80ECEBAC4C78}"/>
    <hyperlink ref="Q17" r:id="rId90" xr:uid="{078DD53F-E6FB-4DC8-8440-3B15CD701459}"/>
    <hyperlink ref="U17" r:id="rId91" xr:uid="{00944C35-2B23-40DF-A529-9C6F24AB0DAA}"/>
    <hyperlink ref="Y17" r:id="rId92" xr:uid="{D09C47A3-CF04-4D33-9DE3-83E7D96182F1}"/>
    <hyperlink ref="AC17" r:id="rId93" xr:uid="{B0A79504-E7C1-4B40-8157-48EC0BFF2C6E}"/>
    <hyperlink ref="AG17" r:id="rId94" xr:uid="{3D926CB7-846F-431C-9155-0C49E0A429F0}"/>
    <hyperlink ref="AK17" r:id="rId95" xr:uid="{3D41B546-6081-4BC6-8145-FFDB8F2E7A38}"/>
    <hyperlink ref="AO17" r:id="rId96" xr:uid="{5BDEC303-D3A0-441C-A9AC-82490A71CDF8}"/>
    <hyperlink ref="I18" r:id="rId97" xr:uid="{412B0A53-A5B8-41C1-A633-9CABB7017D4E}"/>
    <hyperlink ref="M18" r:id="rId98" xr:uid="{72F4E959-D62F-41D4-B8DC-B76075B05735}"/>
    <hyperlink ref="Q18" r:id="rId99" xr:uid="{1C56464F-16AF-4C01-845D-468CEB667EBD}"/>
    <hyperlink ref="U18" r:id="rId100" xr:uid="{6640D1A9-BCD7-42C3-B985-C653B2132FA7}"/>
    <hyperlink ref="Y18" r:id="rId101" xr:uid="{94C0AC1A-2B16-4813-AFEA-964075CE05AF}"/>
    <hyperlink ref="AC18" r:id="rId102" xr:uid="{DB49AAAE-53B5-4B46-8F76-0FAD7F906EFD}"/>
    <hyperlink ref="AG18" r:id="rId103" xr:uid="{7C2B701B-E7E7-4253-83F7-306D684A95CE}"/>
    <hyperlink ref="AK18" r:id="rId104" xr:uid="{75CBD4ED-E8C4-486A-8B62-B5FDB8CA5CD4}"/>
    <hyperlink ref="AO18" r:id="rId105" xr:uid="{43BE78A6-03C5-4093-90B6-4710BE72258A}"/>
    <hyperlink ref="I19" r:id="rId106" xr:uid="{A0F80D27-B4F1-4C6A-BF45-11FEB14AD6BC}"/>
    <hyperlink ref="M19" r:id="rId107" xr:uid="{7B6F4E16-07CD-45FE-A406-CAE8B0B1E41A}"/>
    <hyperlink ref="Q19" r:id="rId108" xr:uid="{A5A744BE-8C54-4DD7-9B5E-1FBB812A3E77}"/>
    <hyperlink ref="U19" r:id="rId109" xr:uid="{37E3726D-91DE-4C72-AA76-C0B2710ADCEE}"/>
    <hyperlink ref="Y19" r:id="rId110" xr:uid="{1B0E1508-E46E-41B3-8FE9-3BFE4BE21EC0}"/>
    <hyperlink ref="AC19" r:id="rId111" xr:uid="{ACA4A100-D1BB-44BB-9A98-82B0C0CD9CCB}"/>
    <hyperlink ref="AG19" r:id="rId112" xr:uid="{0248BA7F-FAA5-4E79-9071-13858C30EFCA}"/>
    <hyperlink ref="AK19" r:id="rId113" xr:uid="{62726EE3-AEC2-4CAA-93A3-91CB4047B1AD}"/>
    <hyperlink ref="AO19" r:id="rId114" xr:uid="{B6663F75-CE2A-491E-BBAF-E1AC5CBE9E3A}"/>
    <hyperlink ref="I20" r:id="rId115" xr:uid="{9D4151EC-8AFA-470A-BA1E-F717578F9C1A}"/>
    <hyperlink ref="M20" r:id="rId116" xr:uid="{4E42CDEE-25E2-458B-AF3A-5BC9F340F721}"/>
    <hyperlink ref="Q20" r:id="rId117" xr:uid="{0B5B8498-3A00-4575-99BE-EF9FAEB1BCA3}"/>
    <hyperlink ref="U20" r:id="rId118" xr:uid="{A70BAE7C-6210-45A5-A6F4-874268591659}"/>
    <hyperlink ref="Y20" r:id="rId119" xr:uid="{77B9C73A-1887-4C17-A868-EA4549828237}"/>
    <hyperlink ref="AC20" r:id="rId120" xr:uid="{20FDFBBE-493B-4DC6-9494-3FD693CA9EEE}"/>
    <hyperlink ref="AG20" r:id="rId121" xr:uid="{02D8257B-9892-4963-9115-0596CD7E9F47}"/>
    <hyperlink ref="AK20" r:id="rId122" xr:uid="{293E1342-8BB9-4231-AA12-405B6FC669DB}"/>
    <hyperlink ref="AO20" r:id="rId123" xr:uid="{DFA58BB3-D8C5-4888-B8E2-A5D1CDD44693}"/>
    <hyperlink ref="I21" r:id="rId124" xr:uid="{58AD76B0-1D53-40E3-A89B-B09E5D78757D}"/>
    <hyperlink ref="M21" r:id="rId125" xr:uid="{A641A3C1-E746-4AD4-9F6E-11866DD2CCDD}"/>
    <hyperlink ref="Q21" r:id="rId126" xr:uid="{59623A54-65E4-43D3-BE49-2134B1AA9E1C}"/>
    <hyperlink ref="U21" r:id="rId127" xr:uid="{CAE6E007-DD53-4443-88C2-9349418BC9BC}"/>
    <hyperlink ref="Y21" r:id="rId128" xr:uid="{8ACBDC8F-72A4-4066-99E9-7A3B908D357F}"/>
    <hyperlink ref="AC21" r:id="rId129" xr:uid="{E398811F-20D1-4C59-92CF-5266A9BABD32}"/>
    <hyperlink ref="AG21" r:id="rId130" xr:uid="{19B8367D-5044-4F35-8458-FF66BFD6E317}"/>
    <hyperlink ref="AK21" r:id="rId131" xr:uid="{30DA5A85-8F3A-4808-BDAF-9B971BE241D5}"/>
    <hyperlink ref="I22" r:id="rId132" xr:uid="{061F2DDC-229D-4DD8-A13F-05579478AE58}"/>
    <hyperlink ref="M22" r:id="rId133" xr:uid="{AE6B8F41-AE23-4598-9B99-9467A11499C1}"/>
    <hyperlink ref="Q22" r:id="rId134" xr:uid="{C1057571-3275-4416-B69C-771D16AC24C7}"/>
    <hyperlink ref="U22" r:id="rId135" xr:uid="{26925651-1D3D-46AC-8A76-FF2C46FD4EF5}"/>
    <hyperlink ref="Y22" r:id="rId136" xr:uid="{7F6D13B9-4B4E-4079-A6B0-0A480083990A}"/>
    <hyperlink ref="AC22" r:id="rId137" xr:uid="{2C137A52-B200-42FA-8E97-BABC31561B0A}"/>
    <hyperlink ref="AG22" r:id="rId138" xr:uid="{4838652C-3BFF-4434-BC2E-8E7E51B81151}"/>
    <hyperlink ref="AK22" r:id="rId139" xr:uid="{AAD12A21-1F76-427B-8596-A1898A74CFA5}"/>
    <hyperlink ref="AO22" r:id="rId140" xr:uid="{3A6A25EF-DB60-46FB-BB77-73370262C71D}"/>
    <hyperlink ref="I23" r:id="rId141" xr:uid="{E697D410-4737-4461-BCE3-F9C4239D3CCC}"/>
    <hyperlink ref="M23" r:id="rId142" xr:uid="{00AA6BB4-B87D-453B-9AF8-7C319D220DD5}"/>
    <hyperlink ref="Q23" r:id="rId143" xr:uid="{956DFDB9-204A-45A5-88B7-DA052C8D96C8}"/>
    <hyperlink ref="U23" r:id="rId144" xr:uid="{D92A3708-1CA6-4464-BBF0-522D92A4057A}"/>
    <hyperlink ref="Y23" r:id="rId145" xr:uid="{51CB0B3E-CA10-404F-9CAD-27C991343B71}"/>
    <hyperlink ref="AC23" r:id="rId146" xr:uid="{F3DB5ADC-70A8-4701-81F2-756F6A64EA04}"/>
    <hyperlink ref="AG23" r:id="rId147" xr:uid="{CBF5AD55-1977-4EB2-AD8B-61F893B0F11D}"/>
    <hyperlink ref="AK23" r:id="rId148" xr:uid="{E95FE4C5-A8FF-4216-B6DD-F39E1E9C3473}"/>
    <hyperlink ref="AO23" r:id="rId149" xr:uid="{6F34E123-401B-40C3-B45F-739195A87F94}"/>
    <hyperlink ref="I16" r:id="rId150" xr:uid="{E6DD9EAF-E33E-4132-918F-56103DECAF1C}"/>
    <hyperlink ref="M16" r:id="rId151" xr:uid="{2662BD4D-336A-41D5-A155-207DDA0B0FAF}"/>
    <hyperlink ref="Q16" r:id="rId152" xr:uid="{6F9AB33C-DA86-4348-9044-67DAB73AC2B0}"/>
    <hyperlink ref="U16" r:id="rId153" xr:uid="{0AD9CF14-902C-4D29-8504-1E09F6CD1522}"/>
    <hyperlink ref="Y16" r:id="rId154" xr:uid="{54B9969D-D89D-4660-A8B8-145BBC55C951}"/>
    <hyperlink ref="AC16" r:id="rId155" xr:uid="{1246D124-BBA2-4419-8457-EA2083807538}"/>
    <hyperlink ref="AG16" r:id="rId156" xr:uid="{0EDE03B8-5DA3-4ACF-AEBA-67F29C215640}"/>
    <hyperlink ref="AK16" r:id="rId157" xr:uid="{06E193EF-C3A9-49D1-9ACD-B3A39D7E8D41}"/>
    <hyperlink ref="AO16" r:id="rId158" xr:uid="{5BFF66AC-9FD5-4B0B-AE92-261BA25A3AD1}"/>
    <hyperlink ref="M3" r:id="rId159" xr:uid="{0476B92C-6D70-47E9-B925-E9AAC47801E1}"/>
    <hyperlink ref="I3" r:id="rId160" xr:uid="{9485FECA-B2C3-4AF1-AD27-7F733D98116A}"/>
    <hyperlink ref="I4" r:id="rId161" xr:uid="{F7F5BE8C-3005-404E-8891-612577B7D9D8}"/>
    <hyperlink ref="AS2" r:id="rId162" xr:uid="{D4F51774-46AB-4B2E-B5CB-BB304966D1FA}"/>
    <hyperlink ref="AO5" r:id="rId163" xr:uid="{48E907D9-637D-4025-B2C5-D08AEC35C60C}"/>
    <hyperlink ref="M5" r:id="rId164" xr:uid="{17237059-9420-4EF3-B699-A3050D1DCB3B}"/>
    <hyperlink ref="Y10" r:id="rId165" xr:uid="{ED8CE52C-FED9-4D64-996E-BFF8E04640A4}"/>
    <hyperlink ref="AC10" r:id="rId166" xr:uid="{58447FF0-05B4-454A-BD6C-2CA483A13DA3}"/>
    <hyperlink ref="Q13" r:id="rId167" xr:uid="{EDA02A4C-C876-4266-8FA4-183CBE7F32A2}"/>
    <hyperlink ref="U13" r:id="rId168" xr:uid="{53584FA1-6495-48AE-9B5D-9A97E390A42E}"/>
    <hyperlink ref="Y13" r:id="rId169" xr:uid="{61E8F54F-0DAF-4023-9C08-443051C5E399}"/>
    <hyperlink ref="AC13" r:id="rId170" xr:uid="{F6D9CFD0-5D5D-485E-A7C5-CC6980E03E9A}"/>
    <hyperlink ref="AG13" r:id="rId171" xr:uid="{EEF43A94-0E18-41CE-9C2B-CD1D5453A1D0}"/>
    <hyperlink ref="AK13" r:id="rId172" xr:uid="{DD67DCA6-93E7-40F9-9807-9CBCA6D3CAE9}"/>
    <hyperlink ref="AO13" r:id="rId173" xr:uid="{F4041DBD-2AAB-4E4C-82A0-9F4E220177CE}"/>
    <hyperlink ref="U2" r:id="rId174" xr:uid="{D6AA4AC2-425F-432E-9DE8-D2F658AE60A6}"/>
    <hyperlink ref="I5" r:id="rId175" xr:uid="{50DE8E73-55F3-4AAA-B568-E693CBAF7E16}"/>
    <hyperlink ref="I8" r:id="rId176" xr:uid="{9112913A-8522-4C78-ACB3-C207B36A55A8}"/>
    <hyperlink ref="AC8" r:id="rId177" xr:uid="{AE1EDEE0-5400-408B-B185-5AB00FC55840}"/>
    <hyperlink ref="AG8" r:id="rId178" xr:uid="{3709DB02-0E4A-4C66-8A00-AAD74BF5E08C}"/>
    <hyperlink ref="AO8" r:id="rId179" xr:uid="{48152CE6-CB0A-4FAA-B3AB-A16109CE0CA6}"/>
    <hyperlink ref="I14" r:id="rId180" xr:uid="{9DE33DEF-7B05-4280-98B8-9CDA30079FA6}"/>
    <hyperlink ref="M14" r:id="rId181" xr:uid="{0C7F8429-A30F-4E81-855A-2B30394B5799}"/>
    <hyperlink ref="AO14" r:id="rId182" xr:uid="{15EFE66C-0A93-439C-99FD-E1D90E4818ED}"/>
    <hyperlink ref="U14" r:id="rId183" xr:uid="{3C7FF48A-7CF4-40BD-A104-783D402392F6}"/>
  </hyperlinks>
  <pageMargins left="0.75" right="0.75" top="1" bottom="1" header="0" footer="0"/>
  <pageSetup orientation="landscape" r:id="rId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Haryanto Putranto</cp:lastModifiedBy>
  <cp:revision/>
  <dcterms:created xsi:type="dcterms:W3CDTF">2024-04-24T06:53:00Z</dcterms:created>
  <dcterms:modified xsi:type="dcterms:W3CDTF">2026-07-14T02:32:32Z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8B489DA1AEDB41D59CB43682F83128AC_13</vt:lpwstr>
  </property>
  <property fmtid="{D5CDD505-2E9C-101B-9397-08002B2CF9AE}" pid="3" name="KSOProductBuildVer">
    <vt:lpwstr>2052-12.1.0.15120</vt:lpwstr>
  </property>
</Properties>
</file>